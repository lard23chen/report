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文件\績效\"/>
    </mc:Choice>
  </mc:AlternateContent>
  <bookViews>
    <workbookView xWindow="0" yWindow="0" windowWidth="19200" windowHeight="8070"/>
  </bookViews>
  <sheets>
    <sheet name="單位目標績效表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V11" i="1" l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7" i="1"/>
  <c r="W7" i="1" s="1"/>
  <c r="V8" i="1"/>
  <c r="W8" i="1" s="1"/>
  <c r="V9" i="1"/>
  <c r="W9" i="1" s="1"/>
  <c r="V10" i="1"/>
  <c r="W10" i="1" s="1"/>
  <c r="V6" i="1"/>
  <c r="W6" i="1" s="1"/>
  <c r="V5" i="1"/>
  <c r="W5" i="1" s="1"/>
  <c r="V4" i="1"/>
  <c r="W4" i="1" s="1"/>
  <c r="B8" i="2" l="1"/>
  <c r="E8" i="2" s="1"/>
  <c r="B9" i="2"/>
  <c r="F9" i="2" s="1"/>
  <c r="B10" i="2"/>
  <c r="G10" i="2" s="1"/>
  <c r="B11" i="2"/>
  <c r="G11" i="2" s="1"/>
  <c r="B12" i="2"/>
  <c r="D12" i="2" s="1"/>
  <c r="B13" i="2"/>
  <c r="C13" i="2" s="1"/>
  <c r="B14" i="2"/>
  <c r="C14" i="2" s="1"/>
  <c r="B15" i="2"/>
  <c r="D15" i="2" s="1"/>
  <c r="B7" i="2"/>
  <c r="E7" i="2" s="1"/>
  <c r="B2" i="2"/>
  <c r="B3" i="2"/>
  <c r="B4" i="2"/>
  <c r="B1" i="2"/>
  <c r="W23" i="1" l="1"/>
  <c r="E10" i="2"/>
  <c r="E11" i="2"/>
  <c r="B5" i="2"/>
  <c r="D9" i="2"/>
  <c r="D10" i="2"/>
  <c r="D11" i="2"/>
  <c r="C11" i="2"/>
  <c r="C15" i="2"/>
  <c r="F10" i="2"/>
  <c r="F11" i="2"/>
  <c r="D7" i="2"/>
  <c r="C8" i="2"/>
  <c r="C9" i="2"/>
  <c r="E12" i="2"/>
  <c r="C10" i="2"/>
  <c r="D8" i="2"/>
  <c r="G12" i="2"/>
  <c r="C12" i="2"/>
  <c r="F12" i="2"/>
  <c r="C7" i="2"/>
  <c r="E9" i="2"/>
  <c r="G13" i="2"/>
  <c r="F13" i="2"/>
  <c r="E13" i="2"/>
  <c r="F14" i="2"/>
  <c r="G7" i="2"/>
  <c r="G8" i="2"/>
  <c r="B16" i="2"/>
  <c r="G14" i="2"/>
  <c r="G15" i="2"/>
  <c r="D13" i="2"/>
  <c r="E14" i="2"/>
  <c r="F15" i="2"/>
  <c r="G9" i="2"/>
  <c r="D14" i="2"/>
  <c r="E15" i="2"/>
  <c r="F7" i="2"/>
  <c r="F8" i="2"/>
  <c r="C16" i="2" l="1"/>
  <c r="G16" i="2"/>
  <c r="E16" i="2"/>
  <c r="D16" i="2"/>
  <c r="F16" i="2"/>
</calcChain>
</file>

<file path=xl/sharedStrings.xml><?xml version="1.0" encoding="utf-8"?>
<sst xmlns="http://schemas.openxmlformats.org/spreadsheetml/2006/main" count="51" uniqueCount="50">
  <si>
    <t>績效評表_單位自定目標</t>
  </si>
  <si>
    <t>數位應用開發</t>
    <phoneticPr fontId="1" type="noConversion"/>
  </si>
  <si>
    <t>初版日：</t>
    <phoneticPr fontId="1" type="noConversion"/>
  </si>
  <si>
    <t>績效分類</t>
    <phoneticPr fontId="1" type="noConversion"/>
  </si>
  <si>
    <t>績效目標</t>
    <phoneticPr fontId="1" type="noConversion"/>
  </si>
  <si>
    <t>符合</t>
    <phoneticPr fontId="1" type="noConversion"/>
  </si>
  <si>
    <t>超越</t>
    <phoneticPr fontId="1" type="noConversion"/>
  </si>
  <si>
    <t>低於</t>
    <phoneticPr fontId="1" type="noConversion"/>
  </si>
  <si>
    <t>越低於</t>
    <phoneticPr fontId="1" type="noConversion"/>
  </si>
  <si>
    <t>遠超越</t>
    <phoneticPr fontId="1" type="noConversion"/>
  </si>
  <si>
    <t>Team別：</t>
    <phoneticPr fontId="1" type="noConversion"/>
  </si>
  <si>
    <t>姓名：</t>
    <phoneticPr fontId="1" type="noConversion"/>
  </si>
  <si>
    <t>林素霞</t>
    <phoneticPr fontId="1" type="noConversion"/>
  </si>
  <si>
    <t>最終日：</t>
    <phoneticPr fontId="1" type="noConversion"/>
  </si>
  <si>
    <t>績效評表_單位自定目標</t>
    <phoneticPr fontId="1" type="noConversion"/>
  </si>
  <si>
    <t>Team名稱：</t>
    <phoneticPr fontId="1" type="noConversion"/>
  </si>
  <si>
    <t>數位應用開發</t>
    <phoneticPr fontId="1" type="noConversion"/>
  </si>
  <si>
    <t>員工姓名：</t>
    <phoneticPr fontId="1" type="noConversion"/>
  </si>
  <si>
    <t>初版日：</t>
    <phoneticPr fontId="1" type="noConversion"/>
  </si>
  <si>
    <t>最後改版日：</t>
    <phoneticPr fontId="1" type="noConversion"/>
  </si>
  <si>
    <t>績效分類</t>
    <phoneticPr fontId="1" type="noConversion"/>
  </si>
  <si>
    <t>績效目標</t>
    <phoneticPr fontId="1" type="noConversion"/>
  </si>
  <si>
    <t>績效檢核</t>
    <phoneticPr fontId="1" type="noConversion"/>
  </si>
  <si>
    <t>評定</t>
    <phoneticPr fontId="1" type="noConversion"/>
  </si>
  <si>
    <t>評定結果
合計</t>
    <phoneticPr fontId="1" type="noConversion"/>
  </si>
  <si>
    <t>設定比重
(10分)</t>
    <phoneticPr fontId="1" type="noConversion"/>
  </si>
  <si>
    <t>加分項目</t>
    <phoneticPr fontId="1" type="noConversion"/>
  </si>
  <si>
    <t>專利申請 (提出 : 總分+ 0.5 ， 申請通過: 總分+ 0.5  )</t>
    <phoneticPr fontId="1" type="noConversion"/>
  </si>
  <si>
    <t>提案(依據經營企劃通報獎勵辦法)，由基本獎至重大貢獻獎依序總分加分為 0.5、0.5、0.75、1、1.25</t>
    <phoneticPr fontId="1" type="noConversion"/>
  </si>
  <si>
    <t>維運平台
(2)</t>
    <phoneticPr fontId="1" type="noConversion"/>
  </si>
  <si>
    <t>Team專案列表</t>
    <phoneticPr fontId="1" type="noConversion"/>
  </si>
  <si>
    <t>專案項目
(6)</t>
    <phoneticPr fontId="1" type="noConversion"/>
  </si>
  <si>
    <t>Team全體
(2)</t>
    <phoneticPr fontId="1" type="noConversion"/>
  </si>
  <si>
    <t>維運品質率：
人員通報件數+大量叫修件數_自責：小於30件</t>
    <phoneticPr fontId="1" type="noConversion"/>
  </si>
  <si>
    <t>廖崇智</t>
    <phoneticPr fontId="1" type="noConversion"/>
  </si>
  <si>
    <t>A系統-AWS移轉(7月)</t>
    <phoneticPr fontId="1" type="noConversion"/>
  </si>
  <si>
    <t>A系統-TWCA實名制(12月)</t>
    <phoneticPr fontId="1" type="noConversion"/>
  </si>
  <si>
    <t>A系統_維運協助(進度管理/系統檢討修改/調整/障礙確認)</t>
    <phoneticPr fontId="1" type="noConversion"/>
  </si>
  <si>
    <t>K系統_維運協助(進度管理/系統檢討修改/調整/障礙確認)</t>
    <phoneticPr fontId="1" type="noConversion"/>
  </si>
  <si>
    <t>A系統-svn版控轉移github(1月)</t>
    <phoneticPr fontId="1" type="noConversion"/>
  </si>
  <si>
    <t xml:space="preserve">A系統-樂天桃猿APP需求(Phase II)(12月)
</t>
    <phoneticPr fontId="1" type="noConversion"/>
  </si>
  <si>
    <t>A系統-退票訂單by活動可選擇(12月)</t>
    <phoneticPr fontId="1" type="noConversion"/>
  </si>
  <si>
    <t>A系統-票卡需求phase I(12月)</t>
    <phoneticPr fontId="1" type="noConversion"/>
  </si>
  <si>
    <t>K系統-離峰班次回傳指定agent id(12月)</t>
    <phoneticPr fontId="1" type="noConversion"/>
  </si>
  <si>
    <t>A系統-限制同時多裝置操作購票(12月)
同帳號(不同裝置、不同瀏覽器)一次只能有一個地方操作</t>
    <phoneticPr fontId="1" type="noConversion"/>
  </si>
  <si>
    <t>A系統-後台活動埋廠商GA追蹤碼設定功能(12月)</t>
    <phoneticPr fontId="1" type="noConversion"/>
  </si>
  <si>
    <t>AI應用-研究OCC/ORS重構(12月)</t>
    <phoneticPr fontId="1" type="noConversion"/>
  </si>
  <si>
    <t>優化-OCC/ORS反組譯程式重建(12月)</t>
    <phoneticPr fontId="1" type="noConversion"/>
  </si>
  <si>
    <t>D系統-秒殺自行選位(9月)</t>
    <phoneticPr fontId="1" type="noConversion"/>
  </si>
  <si>
    <t>D系統-秒殺繼續選購(8月)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</si>
</sst>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4"/>
      <color theme="2" tint="-0.749992370372631"/>
      <name val="微軟正黑體"/>
      <family val="2"/>
      <charset val="136"/>
    </font>
    <font>
      <sz val="12"/>
      <color theme="2" tint="-0.749992370372631"/>
      <name val="微軟正黑體"/>
      <family val="2"/>
      <charset val="136"/>
    </font>
    <font>
      <b/>
      <sz val="10"/>
      <color theme="2" tint="-0.749992370372631"/>
      <name val="微軟正黑體"/>
      <family val="2"/>
      <charset val="136"/>
    </font>
    <font>
      <sz val="10"/>
      <color theme="2" tint="-0.749992370372631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center"/>
    </xf>
    <xf numFmtId="0" fontId="0" fillId="2" borderId="0" xfId="0" applyFill="1">
      <alignment vertical="center"/>
    </xf>
    <xf numFmtId="0" fontId="4" fillId="0" borderId="0" xfId="0" applyFont="1" applyAlignment="1">
      <alignment vertical="center"/>
    </xf>
    <xf numFmtId="0" fontId="0" fillId="3" borderId="0" xfId="0" applyFill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9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"/>
  <sheetViews>
    <sheetView tabSelected="1" zoomScaleNormal="100" zoomScaleSheetLayoutView="85" workbookViewId="0">
      <selection activeCell="Z12" sqref="Z12"/>
    </sheetView>
  </sheetViews>
  <sheetFormatPr defaultColWidth="8.7265625" defaultRowHeight="15.5" x14ac:dyDescent="0.4"/>
  <cols>
    <col min="1" max="9" width="5.6328125" style="1" customWidth="1"/>
    <col min="10" max="10" width="8.7265625" style="1" customWidth="1"/>
    <col min="11" max="18" width="5.6328125" style="1" customWidth="1"/>
    <col min="19" max="19" width="7.08984375" style="1" customWidth="1"/>
    <col min="20" max="20" width="10.453125" style="1" customWidth="1"/>
    <col min="21" max="21" width="5.6328125" style="1" customWidth="1"/>
    <col min="22" max="22" width="9" style="1" bestFit="1" customWidth="1"/>
    <col min="23" max="24" width="5.6328125" style="1" customWidth="1"/>
    <col min="25" max="16384" width="8.7265625" style="1"/>
  </cols>
  <sheetData>
    <row r="1" spans="1:24" x14ac:dyDescent="0.4">
      <c r="A1" s="32" t="s">
        <v>14</v>
      </c>
      <c r="B1" s="32"/>
      <c r="C1" s="32"/>
      <c r="D1" s="32"/>
      <c r="E1" s="32"/>
      <c r="F1" s="32"/>
      <c r="G1" s="28" t="s">
        <v>15</v>
      </c>
      <c r="H1" s="28"/>
      <c r="I1" s="28"/>
      <c r="J1" s="30" t="s">
        <v>16</v>
      </c>
      <c r="K1" s="30"/>
      <c r="L1" s="30"/>
      <c r="M1" s="28" t="s">
        <v>17</v>
      </c>
      <c r="N1" s="28"/>
      <c r="O1" s="28"/>
      <c r="P1" s="30" t="s">
        <v>34</v>
      </c>
      <c r="Q1" s="30"/>
      <c r="R1" s="30"/>
      <c r="S1" s="28" t="s">
        <v>18</v>
      </c>
      <c r="T1" s="28"/>
      <c r="U1" s="28"/>
      <c r="V1" s="29">
        <v>46120</v>
      </c>
      <c r="W1" s="30"/>
      <c r="X1" s="30"/>
    </row>
    <row r="2" spans="1:24" x14ac:dyDescent="0.4">
      <c r="A2" s="32"/>
      <c r="B2" s="32"/>
      <c r="C2" s="32"/>
      <c r="D2" s="32"/>
      <c r="E2" s="32"/>
      <c r="F2" s="32"/>
      <c r="G2" s="28"/>
      <c r="H2" s="28"/>
      <c r="I2" s="28"/>
      <c r="J2" s="30"/>
      <c r="K2" s="30"/>
      <c r="L2" s="30"/>
      <c r="M2" s="28"/>
      <c r="N2" s="28"/>
      <c r="O2" s="28"/>
      <c r="P2" s="30"/>
      <c r="Q2" s="30"/>
      <c r="R2" s="30"/>
      <c r="S2" s="28" t="s">
        <v>19</v>
      </c>
      <c r="T2" s="28"/>
      <c r="U2" s="28"/>
      <c r="V2" s="29">
        <v>46120</v>
      </c>
      <c r="W2" s="30"/>
      <c r="X2" s="30"/>
    </row>
    <row r="3" spans="1:24" s="3" customFormat="1" ht="30" customHeight="1" thickBot="1" x14ac:dyDescent="0.45">
      <c r="A3" s="27" t="s">
        <v>20</v>
      </c>
      <c r="B3" s="27"/>
      <c r="C3" s="27" t="s">
        <v>21</v>
      </c>
      <c r="D3" s="27"/>
      <c r="E3" s="27"/>
      <c r="F3" s="27"/>
      <c r="G3" s="27"/>
      <c r="H3" s="27"/>
      <c r="I3" s="27"/>
      <c r="J3" s="27"/>
      <c r="K3" s="31" t="s">
        <v>25</v>
      </c>
      <c r="L3" s="27"/>
      <c r="M3" s="27" t="s">
        <v>22</v>
      </c>
      <c r="N3" s="27"/>
      <c r="O3" s="27"/>
      <c r="P3" s="27"/>
      <c r="Q3" s="27"/>
      <c r="R3" s="27"/>
      <c r="S3" s="27"/>
      <c r="T3" s="27"/>
      <c r="U3" s="27" t="s">
        <v>23</v>
      </c>
      <c r="V3" s="27"/>
      <c r="W3" s="31" t="s">
        <v>24</v>
      </c>
      <c r="X3" s="27"/>
    </row>
    <row r="4" spans="1:24" s="3" customFormat="1" ht="57.75" customHeight="1" thickTop="1" x14ac:dyDescent="0.4">
      <c r="A4" s="12" t="s">
        <v>32</v>
      </c>
      <c r="B4" s="13"/>
      <c r="C4" s="17" t="s">
        <v>33</v>
      </c>
      <c r="D4" s="18"/>
      <c r="E4" s="18"/>
      <c r="F4" s="18"/>
      <c r="G4" s="18"/>
      <c r="H4" s="18"/>
      <c r="I4" s="18"/>
      <c r="J4" s="18"/>
      <c r="K4" s="13">
        <v>2</v>
      </c>
      <c r="L4" s="13"/>
      <c r="M4" s="19"/>
      <c r="N4" s="20"/>
      <c r="O4" s="20"/>
      <c r="P4" s="20"/>
      <c r="Q4" s="20"/>
      <c r="R4" s="20"/>
      <c r="S4" s="20"/>
      <c r="T4" s="21"/>
      <c r="U4" s="10"/>
      <c r="V4" s="8" t="e">
        <f>CODE(U4)</f>
        <v>#VALUE!</v>
      </c>
      <c r="W4" s="13" t="e">
        <f>CHOOSE(V4-64,5,4.75,4.5,4.25,4)*K4</f>
        <v>#VALUE!</v>
      </c>
      <c r="X4" s="13"/>
    </row>
    <row r="5" spans="1:24" s="3" customFormat="1" ht="54.5" customHeight="1" x14ac:dyDescent="0.4">
      <c r="A5" s="36" t="s">
        <v>31</v>
      </c>
      <c r="B5" s="37"/>
      <c r="C5" s="22" t="s">
        <v>35</v>
      </c>
      <c r="D5" s="25"/>
      <c r="E5" s="25"/>
      <c r="F5" s="25"/>
      <c r="G5" s="25"/>
      <c r="H5" s="25"/>
      <c r="I5" s="25"/>
      <c r="J5" s="26"/>
      <c r="K5" s="16">
        <v>1</v>
      </c>
      <c r="L5" s="16"/>
      <c r="M5" s="14"/>
      <c r="N5" s="15"/>
      <c r="O5" s="15"/>
      <c r="P5" s="15"/>
      <c r="Q5" s="15"/>
      <c r="R5" s="15"/>
      <c r="S5" s="15"/>
      <c r="T5" s="15"/>
      <c r="U5" s="10"/>
      <c r="V5" s="11" t="e">
        <f>CODE(U5)</f>
        <v>#VALUE!</v>
      </c>
      <c r="W5" s="13" t="e">
        <f>CHOOSE(V5-64,5,4.75,4.5,4.25,4)*K5</f>
        <v>#VALUE!</v>
      </c>
      <c r="X5" s="13"/>
    </row>
    <row r="6" spans="1:24" s="3" customFormat="1" ht="41.5" customHeight="1" x14ac:dyDescent="0.4">
      <c r="A6" s="38"/>
      <c r="B6" s="39"/>
      <c r="C6" s="22" t="s">
        <v>36</v>
      </c>
      <c r="D6" s="25"/>
      <c r="E6" s="25"/>
      <c r="F6" s="25"/>
      <c r="G6" s="25"/>
      <c r="H6" s="25"/>
      <c r="I6" s="25"/>
      <c r="J6" s="26"/>
      <c r="K6" s="16">
        <v>0.6</v>
      </c>
      <c r="L6" s="16"/>
      <c r="M6" s="14"/>
      <c r="N6" s="15"/>
      <c r="O6" s="15"/>
      <c r="P6" s="15"/>
      <c r="Q6" s="15"/>
      <c r="R6" s="15"/>
      <c r="S6" s="15"/>
      <c r="T6" s="15"/>
      <c r="U6" s="10"/>
      <c r="V6" s="11" t="e">
        <f>CODE(U6)</f>
        <v>#VALUE!</v>
      </c>
      <c r="W6" s="13" t="e">
        <f t="shared" ref="W6:W14" si="0">CHOOSE(V6-64,5,4.75,4.5,4.25,4)*K6</f>
        <v>#VALUE!</v>
      </c>
      <c r="X6" s="13"/>
    </row>
    <row r="7" spans="1:24" s="3" customFormat="1" ht="41.5" customHeight="1" x14ac:dyDescent="0.4">
      <c r="A7" s="38"/>
      <c r="B7" s="39"/>
      <c r="C7" s="22" t="s">
        <v>48</v>
      </c>
      <c r="D7" s="25"/>
      <c r="E7" s="25"/>
      <c r="F7" s="25"/>
      <c r="G7" s="25"/>
      <c r="H7" s="25"/>
      <c r="I7" s="25"/>
      <c r="J7" s="26"/>
      <c r="K7" s="16">
        <v>0.6</v>
      </c>
      <c r="L7" s="16"/>
      <c r="M7" s="14"/>
      <c r="N7" s="15"/>
      <c r="O7" s="15"/>
      <c r="P7" s="15"/>
      <c r="Q7" s="15"/>
      <c r="R7" s="15"/>
      <c r="S7" s="15"/>
      <c r="T7" s="15"/>
      <c r="U7" s="10"/>
      <c r="V7" s="11" t="e">
        <f t="shared" ref="V7:V19" si="1">CODE(U7)</f>
        <v>#VALUE!</v>
      </c>
      <c r="W7" s="13" t="e">
        <f t="shared" si="0"/>
        <v>#VALUE!</v>
      </c>
      <c r="X7" s="13"/>
    </row>
    <row r="8" spans="1:24" s="3" customFormat="1" ht="41.5" customHeight="1" x14ac:dyDescent="0.4">
      <c r="A8" s="38"/>
      <c r="B8" s="39"/>
      <c r="C8" s="22" t="s">
        <v>49</v>
      </c>
      <c r="D8" s="25"/>
      <c r="E8" s="25"/>
      <c r="F8" s="25"/>
      <c r="G8" s="25"/>
      <c r="H8" s="25"/>
      <c r="I8" s="25"/>
      <c r="J8" s="26"/>
      <c r="K8" s="16">
        <v>0.6</v>
      </c>
      <c r="L8" s="16"/>
      <c r="M8" s="14"/>
      <c r="N8" s="15"/>
      <c r="O8" s="15"/>
      <c r="P8" s="15"/>
      <c r="Q8" s="15"/>
      <c r="R8" s="15"/>
      <c r="S8" s="15"/>
      <c r="T8" s="15"/>
      <c r="U8" s="10"/>
      <c r="V8" s="11" t="e">
        <f t="shared" si="1"/>
        <v>#VALUE!</v>
      </c>
      <c r="W8" s="13" t="e">
        <f t="shared" si="0"/>
        <v>#VALUE!</v>
      </c>
      <c r="X8" s="13"/>
    </row>
    <row r="9" spans="1:24" s="3" customFormat="1" ht="42.5" customHeight="1" x14ac:dyDescent="0.4">
      <c r="A9" s="38"/>
      <c r="B9" s="39"/>
      <c r="C9" s="22" t="s">
        <v>39</v>
      </c>
      <c r="D9" s="25"/>
      <c r="E9" s="25"/>
      <c r="F9" s="25"/>
      <c r="G9" s="25"/>
      <c r="H9" s="25"/>
      <c r="I9" s="25"/>
      <c r="J9" s="26"/>
      <c r="K9" s="16">
        <v>0.1</v>
      </c>
      <c r="L9" s="16"/>
      <c r="M9" s="14"/>
      <c r="N9" s="15"/>
      <c r="O9" s="15"/>
      <c r="P9" s="15"/>
      <c r="Q9" s="15"/>
      <c r="R9" s="15"/>
      <c r="S9" s="15"/>
      <c r="T9" s="15"/>
      <c r="U9" s="10"/>
      <c r="V9" s="11" t="e">
        <f t="shared" si="1"/>
        <v>#VALUE!</v>
      </c>
      <c r="W9" s="13" t="e">
        <f t="shared" si="0"/>
        <v>#VALUE!</v>
      </c>
      <c r="X9" s="13"/>
    </row>
    <row r="10" spans="1:24" s="3" customFormat="1" ht="43.5" customHeight="1" x14ac:dyDescent="0.4">
      <c r="A10" s="38"/>
      <c r="B10" s="39"/>
      <c r="C10" s="22" t="s">
        <v>40</v>
      </c>
      <c r="D10" s="23"/>
      <c r="E10" s="23"/>
      <c r="F10" s="23"/>
      <c r="G10" s="23"/>
      <c r="H10" s="23"/>
      <c r="I10" s="23"/>
      <c r="J10" s="24"/>
      <c r="K10" s="16">
        <v>0.3</v>
      </c>
      <c r="L10" s="16"/>
      <c r="M10" s="15"/>
      <c r="N10" s="15"/>
      <c r="O10" s="15"/>
      <c r="P10" s="15"/>
      <c r="Q10" s="15"/>
      <c r="R10" s="15"/>
      <c r="S10" s="15"/>
      <c r="T10" s="15"/>
      <c r="U10" s="10"/>
      <c r="V10" s="11" t="e">
        <f t="shared" si="1"/>
        <v>#VALUE!</v>
      </c>
      <c r="W10" s="13" t="e">
        <f t="shared" si="0"/>
        <v>#VALUE!</v>
      </c>
      <c r="X10" s="13"/>
    </row>
    <row r="11" spans="1:24" s="3" customFormat="1" ht="42" customHeight="1" x14ac:dyDescent="0.4">
      <c r="A11" s="38"/>
      <c r="B11" s="39"/>
      <c r="C11" s="22" t="s">
        <v>41</v>
      </c>
      <c r="D11" s="23"/>
      <c r="E11" s="23"/>
      <c r="F11" s="23"/>
      <c r="G11" s="23"/>
      <c r="H11" s="23"/>
      <c r="I11" s="23"/>
      <c r="J11" s="24"/>
      <c r="K11" s="16">
        <v>0.3</v>
      </c>
      <c r="L11" s="16"/>
      <c r="M11" s="15"/>
      <c r="N11" s="15"/>
      <c r="O11" s="15"/>
      <c r="P11" s="15"/>
      <c r="Q11" s="15"/>
      <c r="R11" s="15"/>
      <c r="S11" s="15"/>
      <c r="T11" s="15"/>
      <c r="U11" s="10"/>
      <c r="V11" s="11" t="e">
        <f t="shared" si="1"/>
        <v>#VALUE!</v>
      </c>
      <c r="W11" s="13" t="e">
        <f t="shared" si="0"/>
        <v>#VALUE!</v>
      </c>
      <c r="X11" s="13"/>
    </row>
    <row r="12" spans="1:24" s="3" customFormat="1" ht="42.5" customHeight="1" x14ac:dyDescent="0.4">
      <c r="A12" s="38"/>
      <c r="B12" s="39"/>
      <c r="C12" s="22" t="s">
        <v>42</v>
      </c>
      <c r="D12" s="23"/>
      <c r="E12" s="23"/>
      <c r="F12" s="23"/>
      <c r="G12" s="23"/>
      <c r="H12" s="23"/>
      <c r="I12" s="23"/>
      <c r="J12" s="24"/>
      <c r="K12" s="16">
        <v>0.3</v>
      </c>
      <c r="L12" s="16"/>
      <c r="M12" s="14"/>
      <c r="N12" s="15"/>
      <c r="O12" s="15"/>
      <c r="P12" s="15"/>
      <c r="Q12" s="15"/>
      <c r="R12" s="15"/>
      <c r="S12" s="15"/>
      <c r="T12" s="15"/>
      <c r="U12" s="10"/>
      <c r="V12" s="11" t="e">
        <f t="shared" si="1"/>
        <v>#VALUE!</v>
      </c>
      <c r="W12" s="13" t="e">
        <f t="shared" si="0"/>
        <v>#VALUE!</v>
      </c>
      <c r="X12" s="13"/>
    </row>
    <row r="13" spans="1:24" s="3" customFormat="1" ht="44" customHeight="1" x14ac:dyDescent="0.4">
      <c r="A13" s="38"/>
      <c r="B13" s="39"/>
      <c r="C13" s="22" t="s">
        <v>43</v>
      </c>
      <c r="D13" s="23"/>
      <c r="E13" s="23"/>
      <c r="F13" s="23"/>
      <c r="G13" s="23"/>
      <c r="H13" s="23"/>
      <c r="I13" s="23"/>
      <c r="J13" s="24"/>
      <c r="K13" s="16">
        <v>0.5</v>
      </c>
      <c r="L13" s="16"/>
      <c r="M13" s="14"/>
      <c r="N13" s="15"/>
      <c r="O13" s="15"/>
      <c r="P13" s="15"/>
      <c r="Q13" s="15"/>
      <c r="R13" s="15"/>
      <c r="S13" s="15"/>
      <c r="T13" s="15"/>
      <c r="U13" s="10"/>
      <c r="V13" s="11" t="e">
        <f t="shared" si="1"/>
        <v>#VALUE!</v>
      </c>
      <c r="W13" s="13" t="e">
        <f t="shared" si="0"/>
        <v>#VALUE!</v>
      </c>
      <c r="X13" s="13"/>
    </row>
    <row r="14" spans="1:24" s="3" customFormat="1" ht="43" customHeight="1" x14ac:dyDescent="0.4">
      <c r="A14" s="38"/>
      <c r="B14" s="39"/>
      <c r="C14" s="22" t="s">
        <v>44</v>
      </c>
      <c r="D14" s="23"/>
      <c r="E14" s="23"/>
      <c r="F14" s="23"/>
      <c r="G14" s="23"/>
      <c r="H14" s="23"/>
      <c r="I14" s="23"/>
      <c r="J14" s="24"/>
      <c r="K14" s="16">
        <v>0.5</v>
      </c>
      <c r="L14" s="16"/>
      <c r="M14" s="14"/>
      <c r="N14" s="15"/>
      <c r="O14" s="15"/>
      <c r="P14" s="15"/>
      <c r="Q14" s="15"/>
      <c r="R14" s="15"/>
      <c r="S14" s="15"/>
      <c r="T14" s="15"/>
      <c r="U14" s="10"/>
      <c r="V14" s="11" t="e">
        <f t="shared" si="1"/>
        <v>#VALUE!</v>
      </c>
      <c r="W14" s="13" t="e">
        <f t="shared" si="0"/>
        <v>#VALUE!</v>
      </c>
      <c r="X14" s="13"/>
    </row>
    <row r="15" spans="1:24" s="3" customFormat="1" ht="42.5" customHeight="1" x14ac:dyDescent="0.4">
      <c r="A15" s="38"/>
      <c r="B15" s="39"/>
      <c r="C15" s="22" t="s">
        <v>45</v>
      </c>
      <c r="D15" s="23"/>
      <c r="E15" s="23"/>
      <c r="F15" s="23"/>
      <c r="G15" s="23"/>
      <c r="H15" s="23"/>
      <c r="I15" s="23"/>
      <c r="J15" s="24"/>
      <c r="K15" s="16">
        <v>0.2</v>
      </c>
      <c r="L15" s="16"/>
      <c r="M15" s="14"/>
      <c r="N15" s="15"/>
      <c r="O15" s="15"/>
      <c r="P15" s="15"/>
      <c r="Q15" s="15"/>
      <c r="R15" s="15"/>
      <c r="S15" s="15"/>
      <c r="T15" s="15"/>
      <c r="U15" s="10"/>
      <c r="V15" s="11" t="e">
        <f t="shared" si="1"/>
        <v>#VALUE!</v>
      </c>
      <c r="W15" s="13" t="e">
        <f>CHOOSE(V15-64,5,4.75,4.5,4.25,4)*K15</f>
        <v>#VALUE!</v>
      </c>
      <c r="X15" s="13"/>
    </row>
    <row r="16" spans="1:24" s="3" customFormat="1" ht="30.5" customHeight="1" x14ac:dyDescent="0.4">
      <c r="A16" s="38"/>
      <c r="B16" s="39"/>
      <c r="C16" s="22" t="s">
        <v>46</v>
      </c>
      <c r="D16" s="23"/>
      <c r="E16" s="23"/>
      <c r="F16" s="23"/>
      <c r="G16" s="23"/>
      <c r="H16" s="23"/>
      <c r="I16" s="23"/>
      <c r="J16" s="24"/>
      <c r="K16" s="16">
        <v>0.5</v>
      </c>
      <c r="L16" s="16"/>
      <c r="M16" s="14"/>
      <c r="N16" s="15"/>
      <c r="O16" s="15"/>
      <c r="P16" s="15"/>
      <c r="Q16" s="15"/>
      <c r="R16" s="15"/>
      <c r="S16" s="15"/>
      <c r="T16" s="15"/>
      <c r="U16" s="10"/>
      <c r="V16" s="11" t="e">
        <f t="shared" si="1"/>
        <v>#VALUE!</v>
      </c>
      <c r="W16" s="13" t="e">
        <f t="shared" ref="W16:W19" si="2">CHOOSE(V16-64,5,4.75,4.5,4.25,4)*K16</f>
        <v>#VALUE!</v>
      </c>
      <c r="X16" s="13"/>
    </row>
    <row r="17" spans="1:24" s="3" customFormat="1" ht="44" customHeight="1" x14ac:dyDescent="0.4">
      <c r="A17" s="38"/>
      <c r="B17" s="39"/>
      <c r="C17" s="22" t="s">
        <v>47</v>
      </c>
      <c r="D17" s="23"/>
      <c r="E17" s="23"/>
      <c r="F17" s="23"/>
      <c r="G17" s="23"/>
      <c r="H17" s="23"/>
      <c r="I17" s="23"/>
      <c r="J17" s="24"/>
      <c r="K17" s="16">
        <v>0.5</v>
      </c>
      <c r="L17" s="16"/>
      <c r="M17" s="14"/>
      <c r="N17" s="15"/>
      <c r="O17" s="15"/>
      <c r="P17" s="15"/>
      <c r="Q17" s="15"/>
      <c r="R17" s="15"/>
      <c r="S17" s="15"/>
      <c r="T17" s="15"/>
      <c r="U17" s="10"/>
      <c r="V17" s="11" t="e">
        <f t="shared" si="1"/>
        <v>#VALUE!</v>
      </c>
      <c r="W17" s="13" t="e">
        <f t="shared" si="2"/>
        <v>#VALUE!</v>
      </c>
      <c r="X17" s="13"/>
    </row>
    <row r="18" spans="1:24" s="3" customFormat="1" ht="14.5" customHeight="1" x14ac:dyDescent="0.4">
      <c r="A18" s="36" t="s">
        <v>29</v>
      </c>
      <c r="B18" s="37"/>
      <c r="C18" s="22" t="s">
        <v>37</v>
      </c>
      <c r="D18" s="25"/>
      <c r="E18" s="25"/>
      <c r="F18" s="25"/>
      <c r="G18" s="25"/>
      <c r="H18" s="25"/>
      <c r="I18" s="25"/>
      <c r="J18" s="26"/>
      <c r="K18" s="16">
        <v>1.5</v>
      </c>
      <c r="L18" s="16"/>
      <c r="M18" s="14"/>
      <c r="N18" s="15"/>
      <c r="O18" s="15"/>
      <c r="P18" s="15"/>
      <c r="Q18" s="15"/>
      <c r="R18" s="15"/>
      <c r="S18" s="15"/>
      <c r="T18" s="15"/>
      <c r="U18" s="10"/>
      <c r="V18" s="11" t="e">
        <f t="shared" si="1"/>
        <v>#VALUE!</v>
      </c>
      <c r="W18" s="13" t="e">
        <f t="shared" si="2"/>
        <v>#VALUE!</v>
      </c>
      <c r="X18" s="13"/>
    </row>
    <row r="19" spans="1:24" s="3" customFormat="1" ht="17" customHeight="1" x14ac:dyDescent="0.4">
      <c r="A19" s="40"/>
      <c r="B19" s="41"/>
      <c r="C19" s="22" t="s">
        <v>38</v>
      </c>
      <c r="D19" s="25"/>
      <c r="E19" s="25"/>
      <c r="F19" s="25"/>
      <c r="G19" s="25"/>
      <c r="H19" s="25"/>
      <c r="I19" s="25"/>
      <c r="J19" s="26"/>
      <c r="K19" s="16">
        <v>0.5</v>
      </c>
      <c r="L19" s="16"/>
      <c r="M19" s="14"/>
      <c r="N19" s="15"/>
      <c r="O19" s="15"/>
      <c r="P19" s="15"/>
      <c r="Q19" s="15"/>
      <c r="R19" s="15"/>
      <c r="S19" s="15"/>
      <c r="T19" s="15"/>
      <c r="U19" s="10"/>
      <c r="V19" s="11" t="e">
        <f t="shared" si="1"/>
        <v>#VALUE!</v>
      </c>
      <c r="W19" s="13" t="e">
        <f t="shared" si="2"/>
        <v>#VALUE!</v>
      </c>
      <c r="X19" s="13"/>
    </row>
    <row r="20" spans="1:24" s="3" customFormat="1" ht="30" customHeight="1" x14ac:dyDescent="0.4">
      <c r="A20" s="13" t="s">
        <v>26</v>
      </c>
      <c r="B20" s="13"/>
      <c r="C20" s="33" t="s">
        <v>28</v>
      </c>
      <c r="D20" s="33"/>
      <c r="E20" s="33"/>
      <c r="F20" s="33"/>
      <c r="G20" s="33"/>
      <c r="H20" s="33"/>
      <c r="I20" s="33"/>
      <c r="J20" s="33"/>
      <c r="K20" s="13"/>
      <c r="L20" s="13"/>
      <c r="M20" s="35"/>
      <c r="N20" s="35"/>
      <c r="O20" s="35"/>
      <c r="P20" s="35"/>
      <c r="Q20" s="35"/>
      <c r="R20" s="35"/>
      <c r="S20" s="35"/>
      <c r="T20" s="35"/>
      <c r="U20" s="9"/>
      <c r="V20" s="9"/>
      <c r="W20" s="13"/>
      <c r="X20" s="13"/>
    </row>
    <row r="21" spans="1:24" s="3" customFormat="1" ht="14.5" x14ac:dyDescent="0.4">
      <c r="A21" s="13"/>
      <c r="B21" s="13"/>
      <c r="C21" s="33" t="s">
        <v>30</v>
      </c>
      <c r="D21" s="33"/>
      <c r="E21" s="33"/>
      <c r="F21" s="33"/>
      <c r="G21" s="33"/>
      <c r="H21" s="33"/>
      <c r="I21" s="33"/>
      <c r="J21" s="33"/>
      <c r="K21" s="13"/>
      <c r="L21" s="13"/>
      <c r="M21" s="19"/>
      <c r="N21" s="20"/>
      <c r="O21" s="20"/>
      <c r="P21" s="20"/>
      <c r="Q21" s="20"/>
      <c r="R21" s="20"/>
      <c r="S21" s="20"/>
      <c r="T21" s="21"/>
      <c r="U21" s="9"/>
      <c r="V21" s="9"/>
      <c r="W21" s="13"/>
      <c r="X21" s="13"/>
    </row>
    <row r="22" spans="1:24" s="3" customFormat="1" ht="14.5" x14ac:dyDescent="0.4">
      <c r="A22" s="13"/>
      <c r="B22" s="13"/>
      <c r="C22" s="33" t="s">
        <v>27</v>
      </c>
      <c r="D22" s="33"/>
      <c r="E22" s="33"/>
      <c r="F22" s="33"/>
      <c r="G22" s="33"/>
      <c r="H22" s="33"/>
      <c r="I22" s="33"/>
      <c r="J22" s="33"/>
      <c r="K22" s="13"/>
      <c r="L22" s="13"/>
      <c r="M22" s="35"/>
      <c r="N22" s="35"/>
      <c r="O22" s="35"/>
      <c r="P22" s="35"/>
      <c r="Q22" s="35"/>
      <c r="R22" s="35"/>
      <c r="S22" s="35"/>
      <c r="T22" s="35"/>
      <c r="U22" s="9"/>
      <c r="V22" s="9"/>
      <c r="W22" s="13"/>
      <c r="X22" s="13"/>
    </row>
    <row r="23" spans="1:24" s="3" customFormat="1" ht="14.5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34" t="e">
        <f>SUM(W4:X22)</f>
        <v>#VALUE!</v>
      </c>
      <c r="X23" s="34"/>
    </row>
    <row r="24" spans="1:24" s="3" customFormat="1" ht="14.5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4" s="3" customFormat="1" ht="14.5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s="3" customFormat="1" ht="14.5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s="3" customFormat="1" ht="14.5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s="3" customFormat="1" ht="14.5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s="3" customFormat="1" ht="14.5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s="3" customFormat="1" ht="14.5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s="3" customFormat="1" ht="14.5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s="3" customFormat="1" ht="14.5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s="3" customFormat="1" ht="14.5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s="3" customFormat="1" ht="14.5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s="3" customFormat="1" ht="14.5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</sheetData>
  <mergeCells count="96">
    <mergeCell ref="A5:B17"/>
    <mergeCell ref="C16:J16"/>
    <mergeCell ref="K16:L16"/>
    <mergeCell ref="M16:T16"/>
    <mergeCell ref="W16:X16"/>
    <mergeCell ref="C17:J17"/>
    <mergeCell ref="K17:L17"/>
    <mergeCell ref="M17:T17"/>
    <mergeCell ref="W17:X17"/>
    <mergeCell ref="C14:J14"/>
    <mergeCell ref="K14:L14"/>
    <mergeCell ref="M14:T14"/>
    <mergeCell ref="W14:X14"/>
    <mergeCell ref="W12:X12"/>
    <mergeCell ref="M5:T5"/>
    <mergeCell ref="M8:T8"/>
    <mergeCell ref="W23:X23"/>
    <mergeCell ref="W19:X19"/>
    <mergeCell ref="C22:J22"/>
    <mergeCell ref="K20:L20"/>
    <mergeCell ref="K22:L22"/>
    <mergeCell ref="M20:T20"/>
    <mergeCell ref="M22:T22"/>
    <mergeCell ref="W22:X22"/>
    <mergeCell ref="C20:J20"/>
    <mergeCell ref="C19:J19"/>
    <mergeCell ref="M19:T19"/>
    <mergeCell ref="M21:T21"/>
    <mergeCell ref="W21:X21"/>
    <mergeCell ref="K19:L19"/>
    <mergeCell ref="W20:X20"/>
    <mergeCell ref="M11:T11"/>
    <mergeCell ref="W11:X11"/>
    <mergeCell ref="W8:X8"/>
    <mergeCell ref="M7:T7"/>
    <mergeCell ref="W5:X5"/>
    <mergeCell ref="M10:T10"/>
    <mergeCell ref="W10:X10"/>
    <mergeCell ref="M12:T12"/>
    <mergeCell ref="M15:T15"/>
    <mergeCell ref="W15:X15"/>
    <mergeCell ref="M9:T9"/>
    <mergeCell ref="W9:X9"/>
    <mergeCell ref="M13:T13"/>
    <mergeCell ref="W13:X13"/>
    <mergeCell ref="A20:B22"/>
    <mergeCell ref="K8:L8"/>
    <mergeCell ref="C21:J21"/>
    <mergeCell ref="K21:L21"/>
    <mergeCell ref="C18:J18"/>
    <mergeCell ref="K9:L9"/>
    <mergeCell ref="K13:L13"/>
    <mergeCell ref="K15:L15"/>
    <mergeCell ref="C8:J8"/>
    <mergeCell ref="C11:J11"/>
    <mergeCell ref="C9:J9"/>
    <mergeCell ref="C13:J13"/>
    <mergeCell ref="C15:J15"/>
    <mergeCell ref="A18:B19"/>
    <mergeCell ref="U3:V3"/>
    <mergeCell ref="S1:U1"/>
    <mergeCell ref="V1:X1"/>
    <mergeCell ref="S2:U2"/>
    <mergeCell ref="V2:X2"/>
    <mergeCell ref="W3:X3"/>
    <mergeCell ref="A1:F2"/>
    <mergeCell ref="G1:I2"/>
    <mergeCell ref="J1:L2"/>
    <mergeCell ref="M1:O2"/>
    <mergeCell ref="P1:R2"/>
    <mergeCell ref="A3:B3"/>
    <mergeCell ref="C3:J3"/>
    <mergeCell ref="M3:T3"/>
    <mergeCell ref="K3:L3"/>
    <mergeCell ref="A4:B4"/>
    <mergeCell ref="M18:T18"/>
    <mergeCell ref="W4:X4"/>
    <mergeCell ref="C4:J4"/>
    <mergeCell ref="K4:L4"/>
    <mergeCell ref="M4:T4"/>
    <mergeCell ref="K5:L5"/>
    <mergeCell ref="W6:X6"/>
    <mergeCell ref="W7:X7"/>
    <mergeCell ref="K6:L6"/>
    <mergeCell ref="K7:L7"/>
    <mergeCell ref="M6:T6"/>
    <mergeCell ref="W18:X18"/>
    <mergeCell ref="K11:L11"/>
    <mergeCell ref="K18:L18"/>
    <mergeCell ref="C10:J10"/>
    <mergeCell ref="K10:L10"/>
    <mergeCell ref="C12:J12"/>
    <mergeCell ref="K12:L12"/>
    <mergeCell ref="C5:J5"/>
    <mergeCell ref="C6:J6"/>
    <mergeCell ref="C7:J7"/>
  </mergeCells>
  <phoneticPr fontId="1" type="noConversion"/>
  <dataValidations count="2">
    <dataValidation type="list" allowBlank="1" showInputMessage="1" showErrorMessage="1" sqref="U20:U21">
      <formula1>"A,B,C,D,E"</formula1>
    </dataValidation>
    <dataValidation type="list" allowBlank="1" showInputMessage="1" showErrorMessage="1" sqref="U4:U19">
      <formula1>"-,A,B,C,D,E"</formula1>
    </dataValidation>
  </dataValidations>
  <pageMargins left="0.23622047244094491" right="0.15748031496062992" top="0.27559055118110237" bottom="0.2" header="0.19685039370078741" footer="0.11811023622047245"/>
  <pageSetup paperSize="9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A10" sqref="A10"/>
    </sheetView>
  </sheetViews>
  <sheetFormatPr defaultRowHeight="17" x14ac:dyDescent="0.4"/>
  <sheetData>
    <row r="1" spans="1:7" x14ac:dyDescent="0.4">
      <c r="A1" s="5">
        <v>3</v>
      </c>
      <c r="B1" s="5">
        <f>A1*5</f>
        <v>15</v>
      </c>
    </row>
    <row r="2" spans="1:7" x14ac:dyDescent="0.4">
      <c r="A2" s="5">
        <v>3</v>
      </c>
      <c r="B2" s="5">
        <f t="shared" ref="B2:B15" si="0">A2*5</f>
        <v>15</v>
      </c>
    </row>
    <row r="3" spans="1:7" x14ac:dyDescent="0.4">
      <c r="A3" s="5">
        <v>2</v>
      </c>
      <c r="B3" s="5">
        <f t="shared" si="0"/>
        <v>10</v>
      </c>
    </row>
    <row r="4" spans="1:7" x14ac:dyDescent="0.4">
      <c r="A4" s="5">
        <v>2</v>
      </c>
      <c r="B4" s="5">
        <f t="shared" si="0"/>
        <v>10</v>
      </c>
    </row>
    <row r="5" spans="1:7" x14ac:dyDescent="0.4">
      <c r="A5" s="5"/>
      <c r="B5" s="5">
        <f>SUM(B1:B4)</f>
        <v>50</v>
      </c>
    </row>
    <row r="6" spans="1:7" x14ac:dyDescent="0.4">
      <c r="C6" t="s">
        <v>9</v>
      </c>
      <c r="D6" t="s">
        <v>6</v>
      </c>
      <c r="E6" t="s">
        <v>5</v>
      </c>
      <c r="F6" t="s">
        <v>7</v>
      </c>
      <c r="G6" t="s">
        <v>8</v>
      </c>
    </row>
    <row r="7" spans="1:7" x14ac:dyDescent="0.4">
      <c r="A7" s="4">
        <v>2</v>
      </c>
      <c r="B7" s="7">
        <f t="shared" si="0"/>
        <v>10</v>
      </c>
      <c r="C7">
        <f t="shared" ref="C7:C15" si="1">B7*1</f>
        <v>10</v>
      </c>
      <c r="D7">
        <f t="shared" ref="D7:D15" si="2">B7*0.9</f>
        <v>9</v>
      </c>
      <c r="E7">
        <f t="shared" ref="E7:E15" si="3">B7*0.8</f>
        <v>8</v>
      </c>
      <c r="F7">
        <f t="shared" ref="F7:F15" si="4">B7*0.7</f>
        <v>7</v>
      </c>
      <c r="G7">
        <f t="shared" ref="G7:G15" si="5">B7*0.6</f>
        <v>6</v>
      </c>
    </row>
    <row r="8" spans="1:7" x14ac:dyDescent="0.4">
      <c r="A8" s="4">
        <v>1</v>
      </c>
      <c r="B8" s="7">
        <f t="shared" si="0"/>
        <v>5</v>
      </c>
      <c r="C8">
        <f t="shared" si="1"/>
        <v>5</v>
      </c>
      <c r="D8">
        <f t="shared" si="2"/>
        <v>4.5</v>
      </c>
      <c r="E8">
        <f t="shared" si="3"/>
        <v>4</v>
      </c>
      <c r="F8">
        <f t="shared" si="4"/>
        <v>3.5</v>
      </c>
      <c r="G8">
        <f t="shared" si="5"/>
        <v>3</v>
      </c>
    </row>
    <row r="9" spans="1:7" x14ac:dyDescent="0.4">
      <c r="A9" s="6">
        <v>1</v>
      </c>
      <c r="B9" s="7">
        <f t="shared" si="0"/>
        <v>5</v>
      </c>
      <c r="C9">
        <f t="shared" si="1"/>
        <v>5</v>
      </c>
      <c r="D9">
        <f t="shared" si="2"/>
        <v>4.5</v>
      </c>
      <c r="E9">
        <f t="shared" si="3"/>
        <v>4</v>
      </c>
      <c r="F9">
        <f t="shared" si="4"/>
        <v>3.5</v>
      </c>
      <c r="G9">
        <f t="shared" si="5"/>
        <v>3</v>
      </c>
    </row>
    <row r="10" spans="1:7" x14ac:dyDescent="0.4">
      <c r="A10" s="4">
        <v>0.5</v>
      </c>
      <c r="B10" s="7">
        <f t="shared" si="0"/>
        <v>2.5</v>
      </c>
      <c r="C10">
        <f t="shared" si="1"/>
        <v>2.5</v>
      </c>
      <c r="D10">
        <f t="shared" si="2"/>
        <v>2.25</v>
      </c>
      <c r="E10">
        <f t="shared" si="3"/>
        <v>2</v>
      </c>
      <c r="F10">
        <f t="shared" si="4"/>
        <v>1.75</v>
      </c>
      <c r="G10">
        <f t="shared" si="5"/>
        <v>1.5</v>
      </c>
    </row>
    <row r="11" spans="1:7" x14ac:dyDescent="0.4">
      <c r="A11" s="4">
        <v>0.5</v>
      </c>
      <c r="B11" s="7">
        <f t="shared" si="0"/>
        <v>2.5</v>
      </c>
      <c r="C11">
        <f t="shared" si="1"/>
        <v>2.5</v>
      </c>
      <c r="D11">
        <f t="shared" si="2"/>
        <v>2.25</v>
      </c>
      <c r="E11">
        <f t="shared" si="3"/>
        <v>2</v>
      </c>
      <c r="F11">
        <f t="shared" si="4"/>
        <v>1.75</v>
      </c>
      <c r="G11">
        <f t="shared" si="5"/>
        <v>1.5</v>
      </c>
    </row>
    <row r="12" spans="1:7" x14ac:dyDescent="0.4">
      <c r="A12" s="4">
        <v>0.5</v>
      </c>
      <c r="B12" s="7">
        <f t="shared" si="0"/>
        <v>2.5</v>
      </c>
      <c r="C12">
        <f t="shared" si="1"/>
        <v>2.5</v>
      </c>
      <c r="D12">
        <f t="shared" si="2"/>
        <v>2.25</v>
      </c>
      <c r="E12">
        <f t="shared" si="3"/>
        <v>2</v>
      </c>
      <c r="F12">
        <f t="shared" si="4"/>
        <v>1.75</v>
      </c>
      <c r="G12">
        <f t="shared" si="5"/>
        <v>1.5</v>
      </c>
    </row>
    <row r="13" spans="1:7" x14ac:dyDescent="0.4">
      <c r="A13" s="4">
        <v>0.5</v>
      </c>
      <c r="B13" s="7">
        <f t="shared" si="0"/>
        <v>2.5</v>
      </c>
      <c r="C13">
        <f t="shared" si="1"/>
        <v>2.5</v>
      </c>
      <c r="D13">
        <f t="shared" si="2"/>
        <v>2.25</v>
      </c>
      <c r="E13">
        <f t="shared" si="3"/>
        <v>2</v>
      </c>
      <c r="F13">
        <f t="shared" si="4"/>
        <v>1.75</v>
      </c>
      <c r="G13">
        <f t="shared" si="5"/>
        <v>1.5</v>
      </c>
    </row>
    <row r="14" spans="1:7" x14ac:dyDescent="0.4">
      <c r="A14" s="4">
        <v>2.5</v>
      </c>
      <c r="B14" s="7">
        <f t="shared" si="0"/>
        <v>12.5</v>
      </c>
      <c r="C14">
        <f t="shared" si="1"/>
        <v>12.5</v>
      </c>
      <c r="D14">
        <f t="shared" si="2"/>
        <v>11.25</v>
      </c>
      <c r="E14">
        <f t="shared" si="3"/>
        <v>10</v>
      </c>
      <c r="F14">
        <f t="shared" si="4"/>
        <v>8.75</v>
      </c>
      <c r="G14">
        <f t="shared" si="5"/>
        <v>7.5</v>
      </c>
    </row>
    <row r="15" spans="1:7" x14ac:dyDescent="0.4">
      <c r="A15" s="4">
        <v>1.5</v>
      </c>
      <c r="B15" s="7">
        <f t="shared" si="0"/>
        <v>7.5</v>
      </c>
      <c r="C15">
        <f t="shared" si="1"/>
        <v>7.5</v>
      </c>
      <c r="D15">
        <f t="shared" si="2"/>
        <v>6.75</v>
      </c>
      <c r="E15">
        <f t="shared" si="3"/>
        <v>6</v>
      </c>
      <c r="F15">
        <f t="shared" si="4"/>
        <v>5.25</v>
      </c>
      <c r="G15">
        <f t="shared" si="5"/>
        <v>4.5</v>
      </c>
    </row>
    <row r="16" spans="1:7" x14ac:dyDescent="0.4">
      <c r="B16" s="7">
        <f>SUM(B7:B15)</f>
        <v>50</v>
      </c>
      <c r="C16">
        <f>SUM(C7:C15)</f>
        <v>50</v>
      </c>
      <c r="D16">
        <f t="shared" ref="D16:E16" si="6">SUM(D7:D15)</f>
        <v>45</v>
      </c>
      <c r="E16">
        <f t="shared" si="6"/>
        <v>40</v>
      </c>
      <c r="F16">
        <f t="shared" ref="F16" si="7">SUM(F7:F15)</f>
        <v>35</v>
      </c>
      <c r="G16">
        <f t="shared" ref="G16" si="8">SUM(G7:G15)</f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J3" sqref="J3:O3"/>
    </sheetView>
  </sheetViews>
  <sheetFormatPr defaultColWidth="8.7265625" defaultRowHeight="14.5" x14ac:dyDescent="0.4"/>
  <cols>
    <col min="1" max="19" width="5.6328125" style="3" customWidth="1"/>
    <col min="20" max="16384" width="8.7265625" style="3"/>
  </cols>
  <sheetData>
    <row r="1" spans="1:17" x14ac:dyDescent="0.4">
      <c r="A1" s="43" t="s">
        <v>0</v>
      </c>
      <c r="B1" s="43"/>
      <c r="C1" s="43"/>
      <c r="D1" s="43"/>
      <c r="E1" s="45" t="s">
        <v>10</v>
      </c>
      <c r="F1" s="45"/>
      <c r="G1" s="43" t="s">
        <v>1</v>
      </c>
      <c r="H1" s="43"/>
      <c r="I1" s="43"/>
      <c r="J1" s="43" t="s">
        <v>11</v>
      </c>
      <c r="K1" s="43"/>
      <c r="L1" s="43" t="s">
        <v>12</v>
      </c>
      <c r="M1" s="43"/>
      <c r="N1" s="43" t="s">
        <v>2</v>
      </c>
      <c r="O1" s="43"/>
      <c r="P1" s="42">
        <v>43536</v>
      </c>
      <c r="Q1" s="43"/>
    </row>
    <row r="2" spans="1:17" x14ac:dyDescent="0.4">
      <c r="A2" s="43"/>
      <c r="B2" s="43"/>
      <c r="C2" s="43"/>
      <c r="D2" s="43"/>
      <c r="E2" s="45"/>
      <c r="F2" s="45"/>
      <c r="G2" s="43"/>
      <c r="H2" s="43"/>
      <c r="I2" s="43"/>
      <c r="J2" s="43"/>
      <c r="K2" s="43"/>
      <c r="L2" s="43"/>
      <c r="M2" s="43"/>
      <c r="N2" s="43" t="s">
        <v>13</v>
      </c>
      <c r="O2" s="43"/>
      <c r="P2" s="42">
        <v>43536</v>
      </c>
      <c r="Q2" s="43"/>
    </row>
    <row r="3" spans="1:17" x14ac:dyDescent="0.4">
      <c r="A3" s="44" t="s">
        <v>3</v>
      </c>
      <c r="B3" s="44"/>
      <c r="C3" s="43" t="s">
        <v>4</v>
      </c>
      <c r="D3" s="43"/>
      <c r="E3" s="43"/>
      <c r="F3" s="43"/>
      <c r="G3" s="43"/>
      <c r="H3" s="43"/>
      <c r="J3" s="43" t="s">
        <v>4</v>
      </c>
      <c r="K3" s="43"/>
      <c r="L3" s="43"/>
      <c r="M3" s="43"/>
      <c r="N3" s="43"/>
      <c r="O3" s="43"/>
    </row>
  </sheetData>
  <mergeCells count="12">
    <mergeCell ref="P1:Q1"/>
    <mergeCell ref="P2:Q2"/>
    <mergeCell ref="A3:B3"/>
    <mergeCell ref="C3:H3"/>
    <mergeCell ref="J3:O3"/>
    <mergeCell ref="A1:D2"/>
    <mergeCell ref="E1:F2"/>
    <mergeCell ref="G1:I2"/>
    <mergeCell ref="J1:K2"/>
    <mergeCell ref="L1:M2"/>
    <mergeCell ref="N1:O1"/>
    <mergeCell ref="N2:O2"/>
  </mergeCells>
  <phoneticPr fontId="1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單位目標績效表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garfield</dc:creator>
  <cp:lastModifiedBy>廖崇智</cp:lastModifiedBy>
  <cp:lastPrinted>2025-03-25T02:51:38Z</cp:lastPrinted>
  <dcterms:created xsi:type="dcterms:W3CDTF">2019-05-10T00:45:37Z</dcterms:created>
  <dcterms:modified xsi:type="dcterms:W3CDTF">2026-04-08T11:27:11Z</dcterms:modified>
</cp:coreProperties>
</file>