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070" tabRatio="600" firstSheet="0" activeTab="0" autoFilterDateGrouping="1"/>
  </bookViews>
  <sheets>
    <sheet xmlns:r="http://schemas.openxmlformats.org/officeDocument/2006/relationships" name="單位目標績效表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0"/>
    </font>
    <font>
      <name val="微軟正黑體"/>
      <charset val="136"/>
      <family val="2"/>
      <color theme="1"/>
      <sz val="11"/>
    </font>
    <font>
      <name val="微軟正黑體"/>
      <charset val="136"/>
      <family val="2"/>
      <b val="1"/>
      <color theme="1"/>
      <sz val="10"/>
    </font>
    <font>
      <name val="微軟正黑體"/>
      <charset val="136"/>
      <family val="2"/>
      <color theme="2" tint="-0.749992370372631"/>
      <sz val="14"/>
    </font>
    <font>
      <name val="微軟正黑體"/>
      <charset val="136"/>
      <family val="2"/>
      <color theme="2" tint="-0.749992370372631"/>
      <sz val="12"/>
    </font>
    <font>
      <name val="微軟正黑體"/>
      <charset val="136"/>
      <family val="2"/>
      <b val="1"/>
      <color theme="2" tint="-0.749992370372631"/>
      <sz val="10"/>
    </font>
    <font>
      <name val="微軟正黑體"/>
      <charset val="136"/>
      <family val="2"/>
      <color theme="2" tint="-0.749992370372631"/>
      <sz val="10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9" fillId="4" borderId="4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/>
    </xf>
    <xf numFmtId="0" fontId="9" fillId="4" borderId="6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1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3" fillId="0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tabSelected="1" zoomScaleNormal="100" zoomScaleSheetLayoutView="85" workbookViewId="0">
      <selection activeCell="Z12" sqref="Z12"/>
    </sheetView>
  </sheetViews>
  <sheetFormatPr baseColWidth="8" defaultColWidth="8.7265625" defaultRowHeight="15.5"/>
  <cols>
    <col width="5.6328125" customWidth="1" style="1" min="1" max="9"/>
    <col width="8.7265625" customWidth="1" style="1" min="10" max="10"/>
    <col width="5.6328125" customWidth="1" style="1" min="11" max="18"/>
    <col width="7.08984375" customWidth="1" style="1" min="19" max="19"/>
    <col width="10.453125" customWidth="1" style="1" min="20" max="20"/>
    <col width="5.6328125" customWidth="1" style="1" min="21" max="21"/>
    <col width="9" bestFit="1" customWidth="1" style="1" min="22" max="22"/>
    <col width="5.6328125" customWidth="1" style="1" min="23" max="24"/>
    <col width="8.7265625" customWidth="1" style="1" min="25" max="16384"/>
  </cols>
  <sheetData>
    <row r="1">
      <c r="A1" s="32" t="inlineStr">
        <is>
          <t>績效評表_單位自定目標</t>
        </is>
      </c>
      <c r="B1" s="46" t="n"/>
      <c r="C1" s="46" t="n"/>
      <c r="D1" s="46" t="n"/>
      <c r="E1" s="46" t="n"/>
      <c r="F1" s="47" t="n"/>
      <c r="G1" s="28" t="inlineStr">
        <is>
          <t>Team名稱：</t>
        </is>
      </c>
      <c r="H1" s="46" t="n"/>
      <c r="I1" s="47" t="n"/>
      <c r="J1" s="30" t="inlineStr">
        <is>
          <t>數位應用開發</t>
        </is>
      </c>
      <c r="K1" s="46" t="n"/>
      <c r="L1" s="47" t="n"/>
      <c r="M1" s="28" t="inlineStr">
        <is>
          <t>員工姓名：</t>
        </is>
      </c>
      <c r="N1" s="46" t="n"/>
      <c r="O1" s="47" t="n"/>
      <c r="P1" s="30" t="inlineStr">
        <is>
          <t>全體成員</t>
        </is>
      </c>
      <c r="Q1" s="46" t="n"/>
      <c r="R1" s="47" t="n"/>
      <c r="S1" s="28" t="inlineStr">
        <is>
          <t>初版日：</t>
        </is>
      </c>
      <c r="T1" s="48" t="n"/>
      <c r="U1" s="49" t="n"/>
      <c r="V1" s="29" t="n">
        <v>46146</v>
      </c>
      <c r="W1" s="48" t="n"/>
      <c r="X1" s="49" t="n"/>
    </row>
    <row r="2">
      <c r="A2" s="50" t="n"/>
      <c r="B2" s="51" t="n"/>
      <c r="C2" s="51" t="n"/>
      <c r="D2" s="51" t="n"/>
      <c r="E2" s="51" t="n"/>
      <c r="F2" s="52" t="n"/>
      <c r="G2" s="50" t="n"/>
      <c r="H2" s="51" t="n"/>
      <c r="I2" s="52" t="n"/>
      <c r="J2" s="50" t="n"/>
      <c r="K2" s="51" t="n"/>
      <c r="L2" s="52" t="n"/>
      <c r="M2" s="50" t="n"/>
      <c r="N2" s="51" t="n"/>
      <c r="O2" s="52" t="n"/>
      <c r="P2" s="50" t="n"/>
      <c r="Q2" s="51" t="n"/>
      <c r="R2" s="52" t="n"/>
      <c r="S2" s="28" t="inlineStr">
        <is>
          <t>最後改版日：</t>
        </is>
      </c>
      <c r="T2" s="48" t="n"/>
      <c r="U2" s="49" t="n"/>
      <c r="V2" s="29" t="n">
        <v>46146</v>
      </c>
      <c r="W2" s="48" t="n"/>
      <c r="X2" s="49" t="n"/>
    </row>
    <row r="3" ht="30" customFormat="1" customHeight="1" s="6" thickBot="1">
      <c r="A3" s="27" t="inlineStr">
        <is>
          <t>績效分類</t>
        </is>
      </c>
      <c r="B3" s="53" t="n"/>
      <c r="C3" s="27" t="inlineStr">
        <is>
          <t>績效目標</t>
        </is>
      </c>
      <c r="D3" s="54" t="n"/>
      <c r="E3" s="54" t="n"/>
      <c r="F3" s="54" t="n"/>
      <c r="G3" s="54" t="n"/>
      <c r="H3" s="54" t="n"/>
      <c r="I3" s="54" t="n"/>
      <c r="J3" s="53" t="n"/>
      <c r="K3" s="31" t="inlineStr">
        <is>
          <t>設定比重
(10分)</t>
        </is>
      </c>
      <c r="L3" s="53" t="n"/>
      <c r="M3" s="27" t="inlineStr">
        <is>
          <t>績效檢核</t>
        </is>
      </c>
      <c r="N3" s="54" t="n"/>
      <c r="O3" s="54" t="n"/>
      <c r="P3" s="54" t="n"/>
      <c r="Q3" s="54" t="n"/>
      <c r="R3" s="54" t="n"/>
      <c r="S3" s="54" t="n"/>
      <c r="T3" s="53" t="n"/>
      <c r="U3" s="27" t="inlineStr">
        <is>
          <t>評定</t>
        </is>
      </c>
      <c r="V3" s="53" t="n"/>
      <c r="W3" s="31" t="inlineStr">
        <is>
          <t>評定結果
合計</t>
        </is>
      </c>
      <c r="X3" s="53" t="n"/>
    </row>
    <row r="4" ht="57.75" customFormat="1" customHeight="1" s="6" thickTop="1">
      <c r="A4" s="12" t="inlineStr">
        <is>
          <t>Team全體
(2)</t>
        </is>
      </c>
      <c r="B4" s="47" t="n"/>
      <c r="C4" s="17" t="inlineStr">
        <is>
          <t>維運品質率：
人員通報件數+大量叫修件數_自責：小於30件</t>
        </is>
      </c>
      <c r="D4" s="48" t="n"/>
      <c r="E4" s="48" t="n"/>
      <c r="F4" s="48" t="n"/>
      <c r="G4" s="48" t="n"/>
      <c r="H4" s="48" t="n"/>
      <c r="I4" s="48" t="n"/>
      <c r="J4" s="49" t="n"/>
      <c r="K4" s="13" t="n">
        <v>2</v>
      </c>
      <c r="L4" s="49" t="n"/>
      <c r="M4" s="55" t="n"/>
      <c r="N4" s="48" t="n"/>
      <c r="O4" s="48" t="n"/>
      <c r="P4" s="48" t="n"/>
      <c r="Q4" s="48" t="n"/>
      <c r="R4" s="48" t="n"/>
      <c r="S4" s="48" t="n"/>
      <c r="T4" s="49" t="n"/>
      <c r="U4" s="10" t="n"/>
      <c r="V4" s="13">
        <f>CODE(U4)</f>
        <v/>
      </c>
      <c r="W4" s="13">
        <f>CHOOSE(V4-64,5,4.75,4.5,4.25,4)*K4</f>
        <v/>
      </c>
      <c r="X4" s="49" t="n"/>
    </row>
    <row r="5" ht="54.5" customFormat="1" customHeight="1" s="6">
      <c r="A5" s="50" t="n"/>
      <c r="B5" s="52" t="n"/>
      <c r="C5" s="56" t="inlineStr">
        <is>
          <t>維運品質率：
人員通報件數+大量叫修件數_自責：小於50件</t>
        </is>
      </c>
      <c r="D5" s="48" t="n"/>
      <c r="E5" s="48" t="n"/>
      <c r="F5" s="48" t="n"/>
      <c r="G5" s="48" t="n"/>
      <c r="H5" s="48" t="n"/>
      <c r="I5" s="48" t="n"/>
      <c r="J5" s="49" t="n"/>
      <c r="K5" s="16" t="n">
        <v>2</v>
      </c>
      <c r="L5" s="49" t="n"/>
      <c r="M5" s="14" t="n"/>
      <c r="N5" s="48" t="n"/>
      <c r="O5" s="48" t="n"/>
      <c r="P5" s="48" t="n"/>
      <c r="Q5" s="48" t="n"/>
      <c r="R5" s="48" t="n"/>
      <c r="S5" s="48" t="n"/>
      <c r="T5" s="49" t="n"/>
      <c r="U5" s="10" t="n"/>
      <c r="V5" s="13">
        <f>CODE(U5)</f>
        <v/>
      </c>
      <c r="W5" s="13">
        <f>CHOOSE(V5-64,5,4.75,4.5,4.25,4)*K5</f>
        <v/>
      </c>
      <c r="X5" s="49" t="n"/>
    </row>
    <row r="6" ht="41.5" customFormat="1" customHeight="1" s="6">
      <c r="A6" s="0" t="inlineStr">
        <is>
          <t>A系統</t>
        </is>
      </c>
      <c r="C6" s="56" t="inlineStr">
        <is>
          <t>A系統-AWS移轉(7月)</t>
        </is>
      </c>
      <c r="D6" s="48" t="n"/>
      <c r="E6" s="48" t="n"/>
      <c r="F6" s="48" t="n"/>
      <c r="G6" s="48" t="n"/>
      <c r="H6" s="48" t="n"/>
      <c r="I6" s="48" t="n"/>
      <c r="J6" s="49" t="n"/>
      <c r="K6" s="16" t="n">
        <v>1</v>
      </c>
      <c r="L6" s="49" t="n"/>
      <c r="M6" s="14" t="n"/>
      <c r="N6" s="48" t="n"/>
      <c r="O6" s="48" t="n"/>
      <c r="P6" s="48" t="n"/>
      <c r="Q6" s="48" t="n"/>
      <c r="R6" s="48" t="n"/>
      <c r="S6" s="48" t="n"/>
      <c r="T6" s="49" t="n"/>
      <c r="U6" s="10" t="n"/>
      <c r="V6" s="13">
        <f>CODE(U6)</f>
        <v/>
      </c>
      <c r="W6" s="13">
        <f>CHOOSE(V6-64,5,4.75,4.5,4.25,4)*K6</f>
        <v/>
      </c>
      <c r="X6" s="49" t="n"/>
    </row>
    <row r="7" ht="41.5" customFormat="1" customHeight="1" s="6">
      <c r="C7" s="56" t="inlineStr">
        <is>
          <t>A/E/K系統-AWS(7月)</t>
        </is>
      </c>
      <c r="D7" s="48" t="n"/>
      <c r="E7" s="48" t="n"/>
      <c r="F7" s="48" t="n"/>
      <c r="G7" s="48" t="n"/>
      <c r="H7" s="48" t="n"/>
      <c r="I7" s="48" t="n"/>
      <c r="J7" s="49" t="n"/>
      <c r="K7" s="16" t="n">
        <v>1.4</v>
      </c>
      <c r="L7" s="49" t="n"/>
      <c r="M7" s="14" t="n"/>
      <c r="N7" s="48" t="n"/>
      <c r="O7" s="48" t="n"/>
      <c r="P7" s="48" t="n"/>
      <c r="Q7" s="48" t="n"/>
      <c r="R7" s="48" t="n"/>
      <c r="S7" s="48" t="n"/>
      <c r="T7" s="49" t="n"/>
      <c r="U7" s="10" t="n"/>
      <c r="V7" s="13">
        <f>CODE(U7)</f>
        <v/>
      </c>
      <c r="W7" s="13">
        <f>CHOOSE(V7-64,5,4.75,4.5,4.25,4)*K7</f>
        <v/>
      </c>
      <c r="X7" s="49" t="n"/>
    </row>
    <row r="8" ht="41.5" customFormat="1" customHeight="1" s="6">
      <c r="C8" s="56" t="inlineStr">
        <is>
          <t>A系統-TWCA實名制(12月)</t>
        </is>
      </c>
      <c r="D8" s="48" t="n"/>
      <c r="E8" s="48" t="n"/>
      <c r="F8" s="48" t="n"/>
      <c r="G8" s="48" t="n"/>
      <c r="H8" s="48" t="n"/>
      <c r="I8" s="48" t="n"/>
      <c r="J8" s="49" t="n"/>
      <c r="K8" s="16" t="n">
        <v>0.6</v>
      </c>
      <c r="L8" s="49" t="n"/>
      <c r="M8" s="14" t="n"/>
      <c r="N8" s="48" t="n"/>
      <c r="O8" s="48" t="n"/>
      <c r="P8" s="48" t="n"/>
      <c r="Q8" s="48" t="n"/>
      <c r="R8" s="48" t="n"/>
      <c r="S8" s="48" t="n"/>
      <c r="T8" s="49" t="n"/>
      <c r="U8" s="10" t="n"/>
      <c r="V8" s="13">
        <f>CODE(U8)</f>
        <v/>
      </c>
      <c r="W8" s="13">
        <f>CHOOSE(V8-64,5,4.75,4.5,4.25,4)*K8</f>
        <v/>
      </c>
      <c r="X8" s="49" t="n"/>
    </row>
    <row r="9" ht="42.5" customFormat="1" customHeight="1" s="6">
      <c r="C9" s="56" t="inlineStr">
        <is>
          <t>A系統-實名認證/實名制檢核(7~9月)</t>
        </is>
      </c>
      <c r="D9" s="48" t="n"/>
      <c r="E9" s="48" t="n"/>
      <c r="F9" s="48" t="n"/>
      <c r="G9" s="48" t="n"/>
      <c r="H9" s="48" t="n"/>
      <c r="I9" s="48" t="n"/>
      <c r="J9" s="49" t="n"/>
      <c r="K9" s="16" t="n">
        <v>1.3</v>
      </c>
      <c r="L9" s="49" t="n"/>
      <c r="M9" s="14" t="n"/>
      <c r="N9" s="48" t="n"/>
      <c r="O9" s="48" t="n"/>
      <c r="P9" s="48" t="n"/>
      <c r="Q9" s="48" t="n"/>
      <c r="R9" s="48" t="n"/>
      <c r="S9" s="48" t="n"/>
      <c r="T9" s="49" t="n"/>
      <c r="U9" s="10" t="n"/>
      <c r="V9" s="13">
        <f>CODE(U9)</f>
        <v/>
      </c>
      <c r="W9" s="13">
        <f>CHOOSE(V9-64,5,4.75,4.5,4.25,4)*K9</f>
        <v/>
      </c>
      <c r="X9" s="49" t="n"/>
    </row>
    <row r="10" ht="43.5" customFormat="1" customHeight="1" s="6">
      <c r="C10" s="56" t="inlineStr">
        <is>
          <t>A系統-優化需求(12月)</t>
        </is>
      </c>
      <c r="D10" s="48" t="n"/>
      <c r="E10" s="48" t="n"/>
      <c r="F10" s="48" t="n"/>
      <c r="G10" s="48" t="n"/>
      <c r="H10" s="48" t="n"/>
      <c r="I10" s="48" t="n"/>
      <c r="J10" s="49" t="n"/>
      <c r="K10" s="16" t="n">
        <v>1</v>
      </c>
      <c r="L10" s="49" t="n"/>
      <c r="M10" s="15" t="n"/>
      <c r="N10" s="48" t="n"/>
      <c r="O10" s="48" t="n"/>
      <c r="P10" s="48" t="n"/>
      <c r="Q10" s="48" t="n"/>
      <c r="R10" s="48" t="n"/>
      <c r="S10" s="48" t="n"/>
      <c r="T10" s="49" t="n"/>
      <c r="U10" s="10" t="n"/>
      <c r="V10" s="13">
        <f>CODE(U10)</f>
        <v/>
      </c>
      <c r="W10" s="13">
        <f>CHOOSE(V10-64,5,4.75,4.5,4.25,4)*K10</f>
        <v/>
      </c>
      <c r="X10" s="49" t="n"/>
    </row>
    <row r="11" ht="42" customFormat="1" customHeight="1" s="6">
      <c r="C11" s="56" t="inlineStr">
        <is>
          <t>A系統-退票訂單by活動可選擇(12月)</t>
        </is>
      </c>
      <c r="D11" s="48" t="n"/>
      <c r="E11" s="48" t="n"/>
      <c r="F11" s="48" t="n"/>
      <c r="G11" s="48" t="n"/>
      <c r="H11" s="48" t="n"/>
      <c r="I11" s="48" t="n"/>
      <c r="J11" s="49" t="n"/>
      <c r="K11" s="16" t="n">
        <v>0.3</v>
      </c>
      <c r="L11" s="49" t="n"/>
      <c r="M11" s="15" t="n"/>
      <c r="N11" s="48" t="n"/>
      <c r="O11" s="48" t="n"/>
      <c r="P11" s="48" t="n"/>
      <c r="Q11" s="48" t="n"/>
      <c r="R11" s="48" t="n"/>
      <c r="S11" s="48" t="n"/>
      <c r="T11" s="49" t="n"/>
      <c r="U11" s="10" t="n"/>
      <c r="V11" s="13">
        <f>CODE(U11)</f>
        <v/>
      </c>
      <c r="W11" s="13">
        <f>CHOOSE(V11-64,5,4.75,4.5,4.25,4)*K11</f>
        <v/>
      </c>
      <c r="X11" s="49" t="n"/>
    </row>
    <row r="12" ht="42.5" customFormat="1" customHeight="1" s="6">
      <c r="C12" s="56" t="inlineStr">
        <is>
          <t>A系統-退票相關(11月)</t>
        </is>
      </c>
      <c r="D12" s="48" t="n"/>
      <c r="E12" s="48" t="n"/>
      <c r="F12" s="48" t="n"/>
      <c r="G12" s="48" t="n"/>
      <c r="H12" s="48" t="n"/>
      <c r="I12" s="48" t="n"/>
      <c r="J12" s="49" t="n"/>
      <c r="K12" s="16" t="n">
        <v>0.6</v>
      </c>
      <c r="L12" s="49" t="n"/>
      <c r="M12" s="14" t="n"/>
      <c r="N12" s="48" t="n"/>
      <c r="O12" s="48" t="n"/>
      <c r="P12" s="48" t="n"/>
      <c r="Q12" s="48" t="n"/>
      <c r="R12" s="48" t="n"/>
      <c r="S12" s="48" t="n"/>
      <c r="T12" s="49" t="n"/>
      <c r="U12" s="10" t="n"/>
      <c r="V12" s="13">
        <f>CODE(U12)</f>
        <v/>
      </c>
      <c r="W12" s="13">
        <f>CHOOSE(V12-64,5,4.75,4.5,4.25,4)*K12</f>
        <v/>
      </c>
      <c r="X12" s="49" t="n"/>
    </row>
    <row r="13" ht="44" customFormat="1" customHeight="1" s="6">
      <c r="C13" s="56" t="inlineStr">
        <is>
          <t>A系統-樂天桃猿APP需求(Phase II)(12月)</t>
        </is>
      </c>
      <c r="D13" s="48" t="n"/>
      <c r="E13" s="48" t="n"/>
      <c r="F13" s="48" t="n"/>
      <c r="G13" s="48" t="n"/>
      <c r="H13" s="48" t="n"/>
      <c r="I13" s="48" t="n"/>
      <c r="J13" s="49" t="n"/>
      <c r="K13" s="16" t="n">
        <v>0.3</v>
      </c>
      <c r="L13" s="49" t="n"/>
      <c r="M13" s="14" t="n"/>
      <c r="N13" s="48" t="n"/>
      <c r="O13" s="48" t="n"/>
      <c r="P13" s="48" t="n"/>
      <c r="Q13" s="48" t="n"/>
      <c r="R13" s="48" t="n"/>
      <c r="S13" s="48" t="n"/>
      <c r="T13" s="49" t="n"/>
      <c r="U13" s="10" t="n"/>
      <c r="V13" s="13">
        <f>CODE(U13)</f>
        <v/>
      </c>
      <c r="W13" s="13">
        <f>CHOOSE(V13-64,5,4.75,4.5,4.25,4)*K13</f>
        <v/>
      </c>
      <c r="X13" s="49" t="n"/>
    </row>
    <row r="14" ht="43" customFormat="1" customHeight="1" s="6">
      <c r="C14" s="56" t="inlineStr">
        <is>
          <t>A系統-票卡需求phase I(12月)</t>
        </is>
      </c>
      <c r="D14" s="48" t="n"/>
      <c r="E14" s="48" t="n"/>
      <c r="F14" s="48" t="n"/>
      <c r="G14" s="48" t="n"/>
      <c r="H14" s="48" t="n"/>
      <c r="I14" s="48" t="n"/>
      <c r="J14" s="49" t="n"/>
      <c r="K14" s="16" t="n">
        <v>0.3</v>
      </c>
      <c r="L14" s="49" t="n"/>
      <c r="M14" s="14" t="n"/>
      <c r="N14" s="48" t="n"/>
      <c r="O14" s="48" t="n"/>
      <c r="P14" s="48" t="n"/>
      <c r="Q14" s="48" t="n"/>
      <c r="R14" s="48" t="n"/>
      <c r="S14" s="48" t="n"/>
      <c r="T14" s="49" t="n"/>
      <c r="U14" s="10" t="n"/>
      <c r="V14" s="13">
        <f>CODE(U14)</f>
        <v/>
      </c>
      <c r="W14" s="13">
        <f>CHOOSE(V14-64,5,4.75,4.5,4.25,4)*K14</f>
        <v/>
      </c>
      <c r="X14" s="49" t="n"/>
    </row>
    <row r="15" ht="42.5" customFormat="1" customHeight="1" s="6">
      <c r="C15" s="56" t="inlineStr">
        <is>
          <t>A系統-svn版控轉移github(1月)</t>
        </is>
      </c>
      <c r="D15" s="48" t="n"/>
      <c r="E15" s="48" t="n"/>
      <c r="F15" s="48" t="n"/>
      <c r="G15" s="48" t="n"/>
      <c r="H15" s="48" t="n"/>
      <c r="I15" s="48" t="n"/>
      <c r="J15" s="49" t="n"/>
      <c r="K15" s="16" t="n">
        <v>0.1</v>
      </c>
      <c r="L15" s="49" t="n"/>
      <c r="M15" s="14" t="n"/>
      <c r="N15" s="48" t="n"/>
      <c r="O15" s="48" t="n"/>
      <c r="P15" s="48" t="n"/>
      <c r="Q15" s="48" t="n"/>
      <c r="R15" s="48" t="n"/>
      <c r="S15" s="48" t="n"/>
      <c r="T15" s="49" t="n"/>
      <c r="U15" s="10" t="n"/>
      <c r="V15" s="13">
        <f>CODE(U15)</f>
        <v/>
      </c>
      <c r="W15" s="13">
        <f>CHOOSE(V15-64,5,4.75,4.5,4.25,4)*K15</f>
        <v/>
      </c>
      <c r="X15" s="49" t="n"/>
    </row>
    <row r="16" ht="30.5" customFormat="1" customHeight="1" s="6">
      <c r="C16" s="56" t="inlineStr">
        <is>
          <t>A系統-限制同時多裝置操作購票(12月)</t>
        </is>
      </c>
      <c r="D16" s="48" t="n"/>
      <c r="E16" s="48" t="n"/>
      <c r="F16" s="48" t="n"/>
      <c r="G16" s="48" t="n"/>
      <c r="H16" s="48" t="n"/>
      <c r="I16" s="48" t="n"/>
      <c r="J16" s="49" t="n"/>
      <c r="K16" s="16" t="n">
        <v>0.5</v>
      </c>
      <c r="L16" s="49" t="n"/>
      <c r="M16" s="14" t="n"/>
      <c r="N16" s="48" t="n"/>
      <c r="O16" s="48" t="n"/>
      <c r="P16" s="48" t="n"/>
      <c r="Q16" s="48" t="n"/>
      <c r="R16" s="48" t="n"/>
      <c r="S16" s="48" t="n"/>
      <c r="T16" s="49" t="n"/>
      <c r="U16" s="10" t="n"/>
      <c r="V16" s="13">
        <f>CODE(U16)</f>
        <v/>
      </c>
      <c r="W16" s="13">
        <f>CHOOSE(V16-64,5,4.75,4.5,4.25,4)*K16</f>
        <v/>
      </c>
      <c r="X16" s="49" t="n"/>
    </row>
    <row r="17" ht="44" customFormat="1" customHeight="1" s="6">
      <c r="C17" s="56" t="inlineStr">
        <is>
          <t>A系統-後台活動埋廠商GA追蹤碼設定功能(12月)</t>
        </is>
      </c>
      <c r="D17" s="48" t="n"/>
      <c r="E17" s="48" t="n"/>
      <c r="F17" s="48" t="n"/>
      <c r="G17" s="48" t="n"/>
      <c r="H17" s="48" t="n"/>
      <c r="I17" s="48" t="n"/>
      <c r="J17" s="49" t="n"/>
      <c r="K17" s="16" t="n">
        <v>0.2</v>
      </c>
      <c r="L17" s="49" t="n"/>
      <c r="M17" s="14" t="n"/>
      <c r="N17" s="48" t="n"/>
      <c r="O17" s="48" t="n"/>
      <c r="P17" s="48" t="n"/>
      <c r="Q17" s="48" t="n"/>
      <c r="R17" s="48" t="n"/>
      <c r="S17" s="48" t="n"/>
      <c r="T17" s="49" t="n"/>
      <c r="U17" s="10" t="n"/>
      <c r="V17" s="13">
        <f>CODE(U17)</f>
        <v/>
      </c>
      <c r="W17" s="13">
        <f>CHOOSE(V17-64,5,4.75,4.5,4.25,4)*K17</f>
        <v/>
      </c>
      <c r="X17" s="49" t="n"/>
    </row>
    <row r="18" ht="14.5" customFormat="1" customHeight="1" s="6">
      <c r="C18" s="56" t="inlineStr">
        <is>
          <t>AI應用-研究OCC/ORS重構(12月)</t>
        </is>
      </c>
      <c r="D18" s="48" t="n"/>
      <c r="E18" s="48" t="n"/>
      <c r="F18" s="48" t="n"/>
      <c r="G18" s="48" t="n"/>
      <c r="H18" s="48" t="n"/>
      <c r="I18" s="48" t="n"/>
      <c r="J18" s="49" t="n"/>
      <c r="K18" s="16" t="n">
        <v>0.5</v>
      </c>
      <c r="L18" s="49" t="n"/>
      <c r="M18" s="14" t="n"/>
      <c r="N18" s="48" t="n"/>
      <c r="O18" s="48" t="n"/>
      <c r="P18" s="48" t="n"/>
      <c r="Q18" s="48" t="n"/>
      <c r="R18" s="48" t="n"/>
      <c r="S18" s="48" t="n"/>
      <c r="T18" s="49" t="n"/>
      <c r="U18" s="10" t="n"/>
      <c r="V18" s="13">
        <f>CODE(U18)</f>
        <v/>
      </c>
      <c r="W18" s="13">
        <f>CHOOSE(V18-64,5,4.75,4.5,4.25,4)*K18</f>
        <v/>
      </c>
      <c r="X18" s="49" t="n"/>
    </row>
    <row r="19" ht="17" customFormat="1" customHeight="1" s="6">
      <c r="C19" s="56" t="inlineStr">
        <is>
          <t>優化-OCC/ORS反組譯程式重建(12月)</t>
        </is>
      </c>
      <c r="D19" s="48" t="n"/>
      <c r="E19" s="48" t="n"/>
      <c r="F19" s="48" t="n"/>
      <c r="G19" s="48" t="n"/>
      <c r="H19" s="48" t="n"/>
      <c r="I19" s="48" t="n"/>
      <c r="J19" s="49" t="n"/>
      <c r="K19" s="16" t="n">
        <v>0.5</v>
      </c>
      <c r="L19" s="49" t="n"/>
      <c r="M19" s="14" t="n"/>
      <c r="N19" s="48" t="n"/>
      <c r="O19" s="48" t="n"/>
      <c r="P19" s="48" t="n"/>
      <c r="Q19" s="48" t="n"/>
      <c r="R19" s="48" t="n"/>
      <c r="S19" s="48" t="n"/>
      <c r="T19" s="49" t="n"/>
      <c r="U19" s="10" t="n"/>
      <c r="V19" s="13">
        <f>CODE(U19)</f>
        <v/>
      </c>
      <c r="W19" s="13">
        <f>CHOOSE(V19-64,5,4.75,4.5,4.25,4)*K19</f>
        <v/>
      </c>
      <c r="X19" s="49" t="n"/>
    </row>
    <row r="20" ht="30" customFormat="1" customHeight="1" s="6">
      <c r="A20" t="inlineStr">
        <is>
          <t>D系統</t>
        </is>
      </c>
      <c r="C20" s="33" t="inlineStr">
        <is>
          <t>D系統-秒殺自行選位(9月)</t>
        </is>
      </c>
      <c r="D20" s="48" t="n"/>
      <c r="E20" s="48" t="n"/>
      <c r="F20" s="48" t="n"/>
      <c r="G20" s="48" t="n"/>
      <c r="H20" s="48" t="n"/>
      <c r="I20" s="48" t="n"/>
      <c r="J20" s="49" t="n"/>
      <c r="K20" s="13" t="n">
        <v>0.6</v>
      </c>
      <c r="L20" s="49" t="n"/>
      <c r="M20" s="35" t="n"/>
      <c r="N20" s="48" t="n"/>
      <c r="O20" s="48" t="n"/>
      <c r="P20" s="48" t="n"/>
      <c r="Q20" s="48" t="n"/>
      <c r="R20" s="48" t="n"/>
      <c r="S20" s="48" t="n"/>
      <c r="T20" s="49" t="n"/>
      <c r="U20" s="9" t="n"/>
      <c r="V20" s="9">
        <f>CODE(U20)</f>
        <v/>
      </c>
      <c r="W20" s="13">
        <f>CHOOSE(V20-64,5,4.75,4.5,4.25,4)*K20</f>
        <v/>
      </c>
      <c r="X20" s="49" t="n"/>
    </row>
    <row r="21" ht="14.5" customFormat="1" customHeight="1" s="6">
      <c r="C21" s="33" t="inlineStr">
        <is>
          <t>D系統-秒殺繼續選購(8月)</t>
        </is>
      </c>
      <c r="D21" s="48" t="n"/>
      <c r="E21" s="48" t="n"/>
      <c r="F21" s="48" t="n"/>
      <c r="G21" s="48" t="n"/>
      <c r="H21" s="48" t="n"/>
      <c r="I21" s="48" t="n"/>
      <c r="J21" s="49" t="n"/>
      <c r="K21" s="13" t="n">
        <v>0.6</v>
      </c>
      <c r="L21" s="49" t="n"/>
      <c r="M21" s="55" t="n"/>
      <c r="N21" s="48" t="n"/>
      <c r="O21" s="48" t="n"/>
      <c r="P21" s="48" t="n"/>
      <c r="Q21" s="48" t="n"/>
      <c r="R21" s="48" t="n"/>
      <c r="S21" s="48" t="n"/>
      <c r="T21" s="49" t="n"/>
      <c r="U21" s="9" t="n"/>
      <c r="V21" s="9">
        <f>CODE(U21)</f>
        <v/>
      </c>
      <c r="W21" s="13">
        <f>CHOOSE(V21-64,5,4.75,4.5,4.25,4)*K21</f>
        <v/>
      </c>
      <c r="X21" s="49" t="n"/>
    </row>
    <row r="22" ht="14.5" customFormat="1" customHeight="1" s="6">
      <c r="C22" s="33" t="inlineStr">
        <is>
          <t>D系統-DB轉AWS(5月)</t>
        </is>
      </c>
      <c r="D22" s="48" t="n"/>
      <c r="E22" s="48" t="n"/>
      <c r="F22" s="48" t="n"/>
      <c r="G22" s="48" t="n"/>
      <c r="H22" s="48" t="n"/>
      <c r="I22" s="48" t="n"/>
      <c r="J22" s="49" t="n"/>
      <c r="K22" s="13" t="n">
        <v>0.3</v>
      </c>
      <c r="L22" s="49" t="n"/>
      <c r="M22" s="35" t="n"/>
      <c r="N22" s="48" t="n"/>
      <c r="O22" s="48" t="n"/>
      <c r="P22" s="48" t="n"/>
      <c r="Q22" s="48" t="n"/>
      <c r="R22" s="48" t="n"/>
      <c r="S22" s="48" t="n"/>
      <c r="T22" s="49" t="n"/>
      <c r="U22" s="9" t="n"/>
      <c r="V22" s="9">
        <f>CODE(U22)</f>
        <v/>
      </c>
      <c r="W22" s="13">
        <f>CHOOSE(V22-64,5,4.75,4.5,4.25,4)*K22</f>
        <v/>
      </c>
      <c r="X22" s="49" t="n"/>
    </row>
    <row r="23" ht="14.5" customFormat="1" customHeight="1" s="6">
      <c r="C23" s="4" t="inlineStr">
        <is>
          <t>D系統-社群歸戶(1-2月)</t>
        </is>
      </c>
      <c r="K23" s="4" t="n">
        <v>0.5</v>
      </c>
      <c r="M23" s="4" t="n"/>
      <c r="U23" s="4" t="n"/>
      <c r="V23" s="4">
        <f>CODE(U23)</f>
        <v/>
      </c>
      <c r="W23" s="34">
        <f>CHOOSE(V23-64,5,4.75,4.5,4.25,4)*K23</f>
        <v/>
      </c>
      <c r="X23" s="46" t="n"/>
    </row>
    <row r="24" ht="14.5" customFormat="1" customHeight="1" s="6">
      <c r="C24" s="4" t="inlineStr">
        <is>
          <t>D系統移轉PostgreSQL(5月上線)</t>
        </is>
      </c>
      <c r="K24" s="4" t="n">
        <v>2</v>
      </c>
      <c r="M24" s="4" t="n"/>
      <c r="U24" s="4" t="n"/>
      <c r="V24" s="0">
        <f>CODE(U24)</f>
        <v/>
      </c>
      <c r="W24" s="0">
        <f>CHOOSE(V24-64,5,4.75,4.5,4.25,4)*K24</f>
        <v/>
      </c>
    </row>
    <row r="25" ht="14.5" customFormat="1" customHeight="1" s="6">
      <c r="C25" s="4" t="inlineStr">
        <is>
          <t>D系統AWS Log費用減量規畫(5月上線)</t>
        </is>
      </c>
      <c r="K25" s="4" t="n">
        <v>0.5</v>
      </c>
      <c r="M25" s="4" t="n"/>
      <c r="U25" s="4" t="n"/>
      <c r="V25" s="4">
        <f>CODE(U25)</f>
        <v/>
      </c>
      <c r="W25" s="4">
        <f>CHOOSE(V25-64,5,4.75,4.5,4.25,4)*K25</f>
        <v/>
      </c>
    </row>
    <row r="26" ht="14.5" customFormat="1" customHeight="1" s="6">
      <c r="C26" s="4" t="inlineStr">
        <is>
          <t>D系統_會員必須先登功能(Q2)</t>
        </is>
      </c>
      <c r="K26" s="4" t="n">
        <v>0.5</v>
      </c>
      <c r="M26" s="4" t="n"/>
      <c r="U26" s="4" t="n"/>
      <c r="V26" s="4">
        <f>CODE(U26)</f>
        <v/>
      </c>
      <c r="W26" s="4">
        <f>CHOOSE(V26-64,5,4.75,4.5,4.25,4)*K26</f>
        <v/>
      </c>
    </row>
    <row r="27" ht="14.5" customFormat="1" customHeight="1" s="6">
      <c r="C27" s="4" t="inlineStr">
        <is>
          <t>優化-D系統導入CI/CD部署流程</t>
        </is>
      </c>
      <c r="K27" s="4" t="n">
        <v>0.25</v>
      </c>
      <c r="M27" s="4" t="n"/>
      <c r="U27" s="4" t="n"/>
      <c r="V27" s="4">
        <f>CODE(U27)</f>
        <v/>
      </c>
      <c r="W27" s="4">
        <f>CHOOSE(V27-64,5,4.75,4.5,4.25,4)*K27</f>
        <v/>
      </c>
    </row>
    <row r="28" ht="14.5" customFormat="1" customHeight="1" s="6">
      <c r="A28" t="inlineStr">
        <is>
          <t>K系統</t>
        </is>
      </c>
      <c r="C28" s="4" t="inlineStr">
        <is>
          <t>K系統-離峰班次回傳指定agent id(12月)</t>
        </is>
      </c>
      <c r="K28" s="4" t="n">
        <v>0.5</v>
      </c>
      <c r="M28" s="4" t="n"/>
      <c r="U28" s="4" t="n"/>
      <c r="V28" s="4">
        <f>CODE(U28)</f>
        <v/>
      </c>
      <c r="W28" s="4">
        <f>CHOOSE(V28-64,5,4.75,4.5,4.25,4)*K28</f>
        <v/>
      </c>
    </row>
    <row r="29" ht="14.5" customFormat="1" customHeight="1" s="6">
      <c r="A29" t="inlineStr">
        <is>
          <t>E系統</t>
        </is>
      </c>
      <c r="C29" s="4" t="inlineStr">
        <is>
          <t>E系統-主辦權限優化(7月)</t>
        </is>
      </c>
      <c r="K29" s="4" t="n">
        <v>0.5</v>
      </c>
      <c r="M29" s="4" t="n"/>
      <c r="U29" s="4" t="n"/>
      <c r="V29" s="4">
        <f>CODE(U29)</f>
        <v/>
      </c>
      <c r="W29" s="4">
        <f>CHOOSE(V29-64,5,4.75,4.5,4.25,4)*K29</f>
        <v/>
      </c>
    </row>
    <row r="30" ht="14.5" customFormat="1" customHeight="1" s="6">
      <c r="C30" s="4" t="inlineStr">
        <is>
          <t>E系統-方案庫存(4月)</t>
        </is>
      </c>
      <c r="K30" s="4" t="n">
        <v>0.3</v>
      </c>
      <c r="M30" s="4" t="n"/>
      <c r="U30" s="4" t="n"/>
      <c r="V30" s="4">
        <f>CODE(U30)</f>
        <v/>
      </c>
      <c r="W30" s="4">
        <f>CHOOSE(V30-64,5,4.75,4.5,4.25,4)*K30</f>
        <v/>
      </c>
    </row>
    <row r="31" ht="14.5" customFormat="1" customHeight="1" s="6">
      <c r="C31" s="4" t="inlineStr">
        <is>
          <t>E系統-ESIM卡(5月)</t>
        </is>
      </c>
      <c r="K31" s="4" t="n">
        <v>0.4</v>
      </c>
      <c r="M31" s="4" t="n"/>
      <c r="U31" s="4" t="n"/>
      <c r="V31" s="4">
        <f>CODE(U31)</f>
        <v/>
      </c>
      <c r="W31" s="4">
        <f>CHOOSE(V31-64,5,4.75,4.5,4.25,4)*K31</f>
        <v/>
      </c>
    </row>
    <row r="32" ht="14.5" customFormat="1" customHeight="1" s="6">
      <c r="A32" t="inlineStr">
        <is>
          <t>會員平台</t>
        </is>
      </c>
      <c r="C32" s="4" t="inlineStr">
        <is>
          <t>社群會員平台_社群登入_服務平台化Phase1 (2026/Q1)</t>
        </is>
      </c>
      <c r="K32" s="4" t="n">
        <v>1</v>
      </c>
      <c r="M32" s="4" t="n"/>
      <c r="U32" s="4" t="n"/>
      <c r="V32" s="4">
        <f>CODE(U32)</f>
        <v/>
      </c>
      <c r="W32" s="4">
        <f>CHOOSE(V32-64,5,4.75,4.5,4.25,4)*K32</f>
        <v/>
      </c>
    </row>
    <row r="33" ht="14.5" customFormat="1" customHeight="1" s="6">
      <c r="C33" s="4" t="inlineStr">
        <is>
          <t>社群會員平台_社群登入_會員手機TWCA身份認證(Q4)</t>
        </is>
      </c>
      <c r="K33" s="4" t="n">
        <v>1</v>
      </c>
      <c r="M33" s="4" t="n"/>
      <c r="U33" s="4" t="n"/>
      <c r="V33" s="4">
        <f>CODE(U33)</f>
        <v/>
      </c>
      <c r="W33" s="4">
        <f>CHOOSE(V33-64,5,4.75,4.5,4.25,4)*K33</f>
        <v/>
      </c>
    </row>
    <row r="34" ht="14.5" customFormat="1" customHeight="1" s="6">
      <c r="C34" s="4" t="inlineStr">
        <is>
          <t>社群會員平台_社群登入_i禮讚APP串接(Q2)</t>
        </is>
      </c>
      <c r="K34" s="4" t="n">
        <v>0.5</v>
      </c>
      <c r="M34" s="4" t="n"/>
      <c r="U34" s="4" t="n"/>
      <c r="V34" s="4">
        <f>CODE(U34)</f>
        <v/>
      </c>
      <c r="W34" s="4">
        <f>CHOOSE(V34-64,5,4.75,4.5,4.25,4)*K34</f>
        <v/>
      </c>
    </row>
    <row r="35" ht="14.5" customFormat="1" customHeight="1" s="6">
      <c r="C35" s="4" t="inlineStr">
        <is>
          <t>社群會員平台_社群登入_海外電信提供手動產OTP機制(Q2)</t>
        </is>
      </c>
      <c r="K35" s="4" t="n">
        <v>1</v>
      </c>
      <c r="M35" s="4" t="n"/>
      <c r="U35" s="4" t="n"/>
      <c r="V35" s="4">
        <f>CODE(U35)</f>
        <v/>
      </c>
      <c r="W35" s="4">
        <f>CHOOSE(V35-64,5,4.75,4.5,4.25,4)*K35</f>
        <v/>
      </c>
    </row>
    <row r="36">
      <c r="C36" s="4" t="inlineStr">
        <is>
          <t>社群會員平台_社群登入_優化已連動的手機號碼須再輸入登入密碼(Q2)</t>
        </is>
      </c>
      <c r="K36" s="4" t="n">
        <v>0.5</v>
      </c>
      <c r="M36" s="4" t="n"/>
      <c r="U36" s="4" t="n"/>
      <c r="V36" s="4">
        <f>CODE(U36)</f>
        <v/>
      </c>
      <c r="W36" s="4">
        <f>CHOOSE(V36-64,5,4.75,4.5,4.25,4)*K36</f>
        <v/>
      </c>
    </row>
    <row r="37">
      <c r="C37" s="4" t="inlineStr">
        <is>
          <t>社群會員平台_社群登入_Email修改需驗證(Q2)</t>
        </is>
      </c>
      <c r="K37" s="4" t="n">
        <v>0.5</v>
      </c>
      <c r="M37" s="4" t="n"/>
      <c r="U37" s="4" t="n"/>
      <c r="V37" s="4">
        <f>CODE(U37)</f>
        <v/>
      </c>
      <c r="W37" s="4">
        <f>CHOOSE(V37-64,5,4.75,4.5,4.25,4)*K37</f>
        <v/>
      </c>
    </row>
    <row r="38">
      <c r="C38" s="0" t="inlineStr">
        <is>
          <t>社群會員平台_優化_OP點數平台新增查詢介面提供雲端卡反查功能</t>
        </is>
      </c>
      <c r="K38" s="0" t="n">
        <v>0.5</v>
      </c>
      <c r="V38" s="0">
        <f>CODE(U38)</f>
        <v/>
      </c>
      <c r="W38" s="0">
        <f>CHOOSE(V38-64,5,4.75,4.5,4.25,4)*K38</f>
        <v/>
      </c>
    </row>
    <row r="39">
      <c r="A39" t="inlineStr">
        <is>
          <t>其他</t>
        </is>
      </c>
      <c r="C39" s="0" t="inlineStr">
        <is>
          <t>A/E系統-OP兌點(12月)</t>
        </is>
      </c>
      <c r="K39" s="0" t="n">
        <v>0.1</v>
      </c>
      <c r="V39" s="0">
        <f>CODE(U39)</f>
        <v/>
      </c>
      <c r="W39" s="0">
        <f>CHOOSE(V39-64,5,4.75,4.5,4.25,4)*K39</f>
        <v/>
      </c>
    </row>
    <row r="40">
      <c r="C40" s="0" t="inlineStr">
        <is>
          <t>Q系統-2.1G(12月)</t>
        </is>
      </c>
      <c r="K40" s="0" t="n">
        <v>0.1</v>
      </c>
      <c r="V40" s="0">
        <f>CODE(U40)</f>
        <v/>
      </c>
      <c r="W40" s="0">
        <f>CHOOSE(V40-64,5,4.75,4.5,4.25,4)*K40</f>
        <v/>
      </c>
    </row>
    <row r="41">
      <c r="C41" s="0" t="inlineStr">
        <is>
          <t>AI運用_Queueit排隊自動設定</t>
        </is>
      </c>
      <c r="K41" s="0" t="n">
        <v>0.5</v>
      </c>
      <c r="V41" s="0">
        <f>CODE(U41)</f>
        <v/>
      </c>
      <c r="W41" s="0">
        <f>CHOOSE(V41-64,5,4.75,4.5,4.25,4)*K41</f>
        <v/>
      </c>
    </row>
    <row r="42">
      <c r="C42" s="0" t="inlineStr">
        <is>
          <t>Predata改版(A/E/D)</t>
        </is>
      </c>
      <c r="K42" s="0" t="n">
        <v>1</v>
      </c>
      <c r="V42" s="0">
        <f>CODE(U42)</f>
        <v/>
      </c>
      <c r="W42" s="0">
        <f>CHOOSE(V42-64,5,4.75,4.5,4.25,4)*K42</f>
        <v/>
      </c>
    </row>
    <row r="43">
      <c r="C43" s="0" t="inlineStr">
        <is>
          <t>Azure FrontDoor 升級(禮贈/會員)(8月-9月)</t>
        </is>
      </c>
      <c r="K43" s="0" t="n">
        <v>0.5</v>
      </c>
      <c r="V43" s="0">
        <f>CODE(U43)</f>
        <v/>
      </c>
      <c r="W43" s="0">
        <f>CHOOSE(V43-64,5,4.75,4.5,4.25,4)*K43</f>
        <v/>
      </c>
    </row>
    <row r="44">
      <c r="C44" s="0" t="inlineStr">
        <is>
          <t>雲端主機EDR 導入CrowdStrike</t>
        </is>
      </c>
      <c r="K44" s="0" t="n">
        <v>1</v>
      </c>
      <c r="V44" s="0">
        <f>CODE(U44)</f>
        <v/>
      </c>
      <c r="W44" s="0">
        <f>CHOOSE(V44-64,5,4.75,4.5,4.25,4)*K44</f>
        <v/>
      </c>
    </row>
    <row r="45">
      <c r="C45" s="0" t="inlineStr">
        <is>
          <t>AI-協助系統Log分析與查詢</t>
        </is>
      </c>
      <c r="K45" s="0" t="n">
        <v>0.25</v>
      </c>
      <c r="V45" s="0">
        <f>CODE(U45)</f>
        <v/>
      </c>
      <c r="W45" s="0">
        <f>CHOOSE(V45-64,5,4.75,4.5,4.25,4)*K45</f>
        <v/>
      </c>
    </row>
    <row r="46">
      <c r="A46" s="0" t="inlineStr">
        <is>
          <t>維運平台
(2)</t>
        </is>
      </c>
      <c r="C46" s="0" t="inlineStr">
        <is>
          <t>A系統_維運協助(進度管理/系統檢討修改/調整/障礙確認)</t>
        </is>
      </c>
      <c r="K46" s="0" t="n">
        <v>1.5</v>
      </c>
      <c r="V46" s="0">
        <f>CODE(U46)</f>
        <v/>
      </c>
      <c r="W46" s="0">
        <f>CHOOSE(V46-64,5,4.75,4.5,4.25,4)*K46</f>
        <v/>
      </c>
    </row>
    <row r="47">
      <c r="C47" s="0" t="inlineStr">
        <is>
          <t>K系統_維運協助(進度管理/系統檢討修改/調整/障礙確認)</t>
        </is>
      </c>
      <c r="K47" s="0" t="n">
        <v>0.5</v>
      </c>
      <c r="V47" s="0">
        <f>CODE(U47)</f>
        <v/>
      </c>
      <c r="W47" s="0">
        <f>CHOOSE(V47-64,5,4.75,4.5,4.25,4)*K47</f>
        <v/>
      </c>
    </row>
    <row r="48">
      <c r="C48" s="0" t="inlineStr">
        <is>
          <t>Qware售票系統(A/C/D/Q/E)_維運協助(進度管理/系統檢討修改/調整/障礙確認)</t>
        </is>
      </c>
      <c r="K48" s="0" t="n">
        <v>1</v>
      </c>
      <c r="V48" s="0">
        <f>CODE(U48)</f>
        <v/>
      </c>
      <c r="W48" s="0">
        <f>CHOOSE(V48-64,5,4.75,4.5,4.25,4)*K48</f>
        <v/>
      </c>
    </row>
    <row r="49">
      <c r="C49" s="0" t="inlineStr">
        <is>
          <t>A/E系統(需求訪談/整體架構規劃/障礙確認)</t>
        </is>
      </c>
      <c r="K49" s="0" t="n">
        <v>0.8</v>
      </c>
      <c r="V49" s="0">
        <f>CODE(U49)</f>
        <v/>
      </c>
      <c r="W49" s="0">
        <f>CHOOSE(V49-64,5,4.75,4.5,4.25,4)*K49</f>
        <v/>
      </c>
    </row>
    <row r="50">
      <c r="C50" s="0" t="inlineStr">
        <is>
          <t>其它專案(需求訪談/整體架構規劃/障礙確認)</t>
        </is>
      </c>
      <c r="K50" s="0" t="n">
        <v>0.2</v>
      </c>
      <c r="V50" s="0">
        <f>CODE(U50)</f>
        <v/>
      </c>
      <c r="W50" s="0">
        <f>CHOOSE(V50-64,5,4.75,4.5,4.25,4)*K50</f>
        <v/>
      </c>
    </row>
    <row r="51">
      <c r="C51" s="0" t="inlineStr">
        <is>
          <t>Qware售票系統(A)_維運協助(進度管理/系統檢討修改/調整/障礙確認)</t>
        </is>
      </c>
      <c r="K51" s="0" t="n">
        <v>0.75</v>
      </c>
      <c r="M51" s="0" t="inlineStr">
        <is>
          <t>(1)依需求緊急程度進行各項工作排定、品質控管，且進度能如期達成
(2)確實執行障礙的調查及管理</t>
        </is>
      </c>
      <c r="V51" s="0">
        <f>CODE(U51)</f>
        <v/>
      </c>
      <c r="W51" s="0">
        <f>CHOOSE(V51-64,5,4.75,4.5,4.25,4)*K51</f>
        <v/>
      </c>
    </row>
    <row r="52">
      <c r="C52" s="0" t="inlineStr">
        <is>
          <t>社群會員平台(需求訪談/整體架構規劃/障礙確認)</t>
        </is>
      </c>
      <c r="K52" s="0" t="n">
        <v>0.75</v>
      </c>
      <c r="M52" s="0" t="inlineStr">
        <is>
          <t>依需求的緊急需要，進行訪談匯整及對外包商進行需求的提出、進度管理。</t>
        </is>
      </c>
      <c r="V52" s="0">
        <f>CODE(U52)</f>
        <v/>
      </c>
      <c r="W52" s="0">
        <f>CHOOSE(V52-64,5,4.75,4.5,4.25,4)*K52</f>
        <v/>
      </c>
    </row>
    <row r="53">
      <c r="C53" s="0" t="inlineStr">
        <is>
          <t>各平台相關報告</t>
        </is>
      </c>
      <c r="K53" s="0" t="n">
        <v>0.5</v>
      </c>
      <c r="M53" s="0" t="inlineStr">
        <is>
          <t>依負責的平台，於會議進行說明報告</t>
        </is>
      </c>
      <c r="V53" s="0">
        <f>CODE(U53)</f>
        <v/>
      </c>
      <c r="W53" s="0">
        <f>CHOOSE(V53-64,5,4.75,4.5,4.25,4)*K53</f>
        <v/>
      </c>
    </row>
    <row r="54">
      <c r="C54" s="0" t="inlineStr">
        <is>
          <t>Qware售票系統(A/D/E/球團App)_維運協助(進度管理/系統檢討修改/調整/障礙確認)</t>
        </is>
      </c>
      <c r="K54" s="0" t="n">
        <v>0.5</v>
      </c>
      <c r="V54" s="0">
        <f>CODE(U54)</f>
        <v/>
      </c>
      <c r="W54" s="0">
        <f>CHOOSE(V54-64,5,4.75,4.5,4.25,4)*K54</f>
        <v/>
      </c>
    </row>
    <row r="55">
      <c r="C55" s="0" t="inlineStr">
        <is>
          <t>D系統(需求訪談/整體架構規劃/障礙確認)</t>
        </is>
      </c>
      <c r="K55" s="0" t="n">
        <v>1</v>
      </c>
      <c r="M55" s="0" t="inlineStr">
        <is>
          <t>Queue-it 調整Aws 服務串接實作
線上購票會員登入檢查機制</t>
        </is>
      </c>
      <c r="V55" s="0">
        <f>CODE(U55)</f>
        <v/>
      </c>
      <c r="W55" s="0">
        <f>CHOOSE(V55-64,5,4.75,4.5,4.25,4)*K55</f>
        <v/>
      </c>
    </row>
    <row r="56">
      <c r="C56" s="0" t="inlineStr">
        <is>
          <t>雲端平台(日常維運、架構管理、障礙支援)</t>
        </is>
      </c>
      <c r="K56" s="0" t="n">
        <v>0.5</v>
      </c>
      <c r="M56" s="0" t="inlineStr">
        <is>
          <t>導入 AWS 原生安全服務(GuardDuty/Security Hub)</t>
        </is>
      </c>
      <c r="V56" s="0">
        <f>CODE(U56)</f>
        <v/>
      </c>
      <c r="W56" s="0">
        <f>CHOOSE(V56-64,5,4.75,4.5,4.25,4)*K56</f>
        <v/>
      </c>
    </row>
    <row r="57">
      <c r="A57" s="0" t="inlineStr">
        <is>
          <t>加分項目</t>
        </is>
      </c>
      <c r="C57" s="0" t="inlineStr">
        <is>
          <t>提案(依據經營企劃通報獎勵辦法)，由基本獎至重大貢獻獎依序總分加分為 0.5、0.5、0.75、1、1.25</t>
        </is>
      </c>
    </row>
    <row r="58">
      <c r="C58" s="0" t="inlineStr">
        <is>
          <t>Team專案列表</t>
        </is>
      </c>
    </row>
    <row r="59">
      <c r="C59" s="0" t="inlineStr">
        <is>
          <t>專利申請 (提出 : 總分+ 0.5 ， 申請通過: 總分+ 0.5  )</t>
        </is>
      </c>
    </row>
    <row r="60">
      <c r="W60" s="0">
        <f>SUM(W4:X59)</f>
        <v/>
      </c>
    </row>
  </sheetData>
  <mergeCells count="249">
    <mergeCell ref="M53:T53"/>
    <mergeCell ref="W4:X4"/>
    <mergeCell ref="K49:L49"/>
    <mergeCell ref="W40:X40"/>
    <mergeCell ref="K24:L24"/>
    <mergeCell ref="C33:J33"/>
    <mergeCell ref="K33:L33"/>
    <mergeCell ref="W15:X15"/>
    <mergeCell ref="C42:J42"/>
    <mergeCell ref="W24:X24"/>
    <mergeCell ref="M55:T55"/>
    <mergeCell ref="M52:T52"/>
    <mergeCell ref="M9:T9"/>
    <mergeCell ref="K26:L26"/>
    <mergeCell ref="C35:J35"/>
    <mergeCell ref="M39:T39"/>
    <mergeCell ref="K35:L35"/>
    <mergeCell ref="W26:X26"/>
    <mergeCell ref="M20:T20"/>
    <mergeCell ref="C20:J20"/>
    <mergeCell ref="C25:J25"/>
    <mergeCell ref="K50:L50"/>
    <mergeCell ref="M11:T11"/>
    <mergeCell ref="W50:X50"/>
    <mergeCell ref="W3:X3"/>
    <mergeCell ref="M22:T22"/>
    <mergeCell ref="K58:L58"/>
    <mergeCell ref="M31:T31"/>
    <mergeCell ref="K52:L52"/>
    <mergeCell ref="S1:U1"/>
    <mergeCell ref="W43:X43"/>
    <mergeCell ref="C59:J59"/>
    <mergeCell ref="M6:T6"/>
    <mergeCell ref="A20:B27"/>
    <mergeCell ref="C11:J11"/>
    <mergeCell ref="M15:T15"/>
    <mergeCell ref="C46:J46"/>
    <mergeCell ref="M28:T28"/>
    <mergeCell ref="K42:L42"/>
    <mergeCell ref="M37:T37"/>
    <mergeCell ref="C52:J52"/>
    <mergeCell ref="W42:X42"/>
    <mergeCell ref="C39:J39"/>
    <mergeCell ref="C48:J48"/>
    <mergeCell ref="K53:L53"/>
    <mergeCell ref="M57:T57"/>
    <mergeCell ref="C32:J32"/>
    <mergeCell ref="C38:J38"/>
    <mergeCell ref="M14:T14"/>
    <mergeCell ref="K28:L28"/>
    <mergeCell ref="M29:T29"/>
    <mergeCell ref="A28:B28"/>
    <mergeCell ref="M23:T23"/>
    <mergeCell ref="K37:L37"/>
    <mergeCell ref="W14:X14"/>
    <mergeCell ref="C13:J13"/>
    <mergeCell ref="W28:X28"/>
    <mergeCell ref="K13:L13"/>
    <mergeCell ref="M4:T4"/>
    <mergeCell ref="W37:X37"/>
    <mergeCell ref="M56:T56"/>
    <mergeCell ref="K30:L30"/>
    <mergeCell ref="M43:T43"/>
    <mergeCell ref="M58:T58"/>
    <mergeCell ref="C15:J15"/>
    <mergeCell ref="K15:L15"/>
    <mergeCell ref="C24:J24"/>
    <mergeCell ref="W6:X6"/>
    <mergeCell ref="K55:L55"/>
    <mergeCell ref="K21:L21"/>
    <mergeCell ref="C26:J26"/>
    <mergeCell ref="A4:B5"/>
    <mergeCell ref="K51:L51"/>
    <mergeCell ref="W55:X55"/>
    <mergeCell ref="J1:L2"/>
    <mergeCell ref="M35:T35"/>
    <mergeCell ref="K32:L32"/>
    <mergeCell ref="W51:X51"/>
    <mergeCell ref="C10:J10"/>
    <mergeCell ref="C16:J16"/>
    <mergeCell ref="K41:L41"/>
    <mergeCell ref="C50:J50"/>
    <mergeCell ref="M54:T54"/>
    <mergeCell ref="W54:X54"/>
    <mergeCell ref="W32:X32"/>
    <mergeCell ref="A39:B45"/>
    <mergeCell ref="C55:J55"/>
    <mergeCell ref="W41:X41"/>
    <mergeCell ref="C9:J9"/>
    <mergeCell ref="K56:L56"/>
    <mergeCell ref="W7:X7"/>
    <mergeCell ref="M25:T25"/>
    <mergeCell ref="M1:O2"/>
    <mergeCell ref="W16:X16"/>
    <mergeCell ref="K43:L43"/>
    <mergeCell ref="W56:X56"/>
    <mergeCell ref="M30:T30"/>
    <mergeCell ref="K27:L27"/>
    <mergeCell ref="C36:J36"/>
    <mergeCell ref="M46:T46"/>
    <mergeCell ref="M33:T33"/>
    <mergeCell ref="M42:T42"/>
    <mergeCell ref="W18:X18"/>
    <mergeCell ref="W27:X27"/>
    <mergeCell ref="W58:X58"/>
    <mergeCell ref="K17:L17"/>
    <mergeCell ref="M3:T3"/>
    <mergeCell ref="M17:T17"/>
    <mergeCell ref="W8:X8"/>
    <mergeCell ref="W17:X17"/>
    <mergeCell ref="W11:X11"/>
    <mergeCell ref="M47:T47"/>
    <mergeCell ref="K10:L10"/>
    <mergeCell ref="W60:X60"/>
    <mergeCell ref="K19:L19"/>
    <mergeCell ref="C28:J28"/>
    <mergeCell ref="M32:T32"/>
    <mergeCell ref="M19:T19"/>
    <mergeCell ref="C37:J37"/>
    <mergeCell ref="K6:L6"/>
    <mergeCell ref="W19:X19"/>
    <mergeCell ref="C18:J18"/>
    <mergeCell ref="S2:U2"/>
    <mergeCell ref="K3:L3"/>
    <mergeCell ref="W44:X44"/>
    <mergeCell ref="K16:L16"/>
    <mergeCell ref="W53:X53"/>
    <mergeCell ref="K25:L25"/>
    <mergeCell ref="C30:J30"/>
    <mergeCell ref="W34:X34"/>
    <mergeCell ref="C6:J6"/>
    <mergeCell ref="W25:X25"/>
    <mergeCell ref="K9:L9"/>
    <mergeCell ref="M44:T44"/>
    <mergeCell ref="M59:T59"/>
    <mergeCell ref="C14:J14"/>
    <mergeCell ref="K5:L5"/>
    <mergeCell ref="K45:L45"/>
    <mergeCell ref="K54:L54"/>
    <mergeCell ref="W5:X5"/>
    <mergeCell ref="W36:X36"/>
    <mergeCell ref="W30:X30"/>
    <mergeCell ref="W45:X45"/>
    <mergeCell ref="C4:J4"/>
    <mergeCell ref="K29:L29"/>
    <mergeCell ref="K11:L11"/>
    <mergeCell ref="W20:X20"/>
    <mergeCell ref="P1:R2"/>
    <mergeCell ref="M51:T51"/>
    <mergeCell ref="K47:L47"/>
    <mergeCell ref="C54:J54"/>
    <mergeCell ref="K44:L44"/>
    <mergeCell ref="W47:X47"/>
    <mergeCell ref="M10:T10"/>
    <mergeCell ref="K31:L31"/>
    <mergeCell ref="C41:J41"/>
    <mergeCell ref="K46:L46"/>
    <mergeCell ref="K40:L40"/>
    <mergeCell ref="W22:X22"/>
    <mergeCell ref="A3:B3"/>
    <mergeCell ref="W31:X31"/>
    <mergeCell ref="M13:T13"/>
    <mergeCell ref="M7:T7"/>
    <mergeCell ref="C56:J56"/>
    <mergeCell ref="M16:T16"/>
    <mergeCell ref="W12:X12"/>
    <mergeCell ref="K8:L8"/>
    <mergeCell ref="C43:J43"/>
    <mergeCell ref="W21:X21"/>
    <mergeCell ref="C27:J27"/>
    <mergeCell ref="M27:T27"/>
    <mergeCell ref="K23:L23"/>
    <mergeCell ref="W13:X13"/>
    <mergeCell ref="M36:T36"/>
    <mergeCell ref="M18:T18"/>
    <mergeCell ref="M45:T45"/>
    <mergeCell ref="C8:J8"/>
    <mergeCell ref="V2:X2"/>
    <mergeCell ref="A57:B59"/>
    <mergeCell ref="C17:J17"/>
    <mergeCell ref="K7:L7"/>
    <mergeCell ref="M8:T8"/>
    <mergeCell ref="A29:B31"/>
    <mergeCell ref="K57:L57"/>
    <mergeCell ref="A32:B38"/>
    <mergeCell ref="C19:J19"/>
    <mergeCell ref="C53:J53"/>
    <mergeCell ref="K18:L18"/>
    <mergeCell ref="M50:T50"/>
    <mergeCell ref="W57:X57"/>
    <mergeCell ref="G1:I2"/>
    <mergeCell ref="C3:J3"/>
    <mergeCell ref="C34:J34"/>
    <mergeCell ref="W49:X49"/>
    <mergeCell ref="K34:L34"/>
    <mergeCell ref="M34:T34"/>
    <mergeCell ref="W10:X10"/>
    <mergeCell ref="W33:X33"/>
    <mergeCell ref="C58:J58"/>
    <mergeCell ref="M5:T5"/>
    <mergeCell ref="C5:J5"/>
    <mergeCell ref="M49:T49"/>
    <mergeCell ref="K36:L36"/>
    <mergeCell ref="C45:J45"/>
    <mergeCell ref="M48:T48"/>
    <mergeCell ref="W35:X35"/>
    <mergeCell ref="K20:L20"/>
    <mergeCell ref="C29:J29"/>
    <mergeCell ref="A1:F2"/>
    <mergeCell ref="C47:J47"/>
    <mergeCell ref="A6:B19"/>
    <mergeCell ref="C44:J44"/>
    <mergeCell ref="C22:J22"/>
    <mergeCell ref="K22:L22"/>
    <mergeCell ref="C31:J31"/>
    <mergeCell ref="C40:J40"/>
    <mergeCell ref="M40:T40"/>
    <mergeCell ref="C12:J12"/>
    <mergeCell ref="K59:L59"/>
    <mergeCell ref="K12:L12"/>
    <mergeCell ref="C21:J21"/>
    <mergeCell ref="U3:V3"/>
    <mergeCell ref="M12:T12"/>
    <mergeCell ref="C51:J51"/>
    <mergeCell ref="M21:T21"/>
    <mergeCell ref="W59:X59"/>
    <mergeCell ref="W46:X46"/>
    <mergeCell ref="K39:L39"/>
    <mergeCell ref="K14:L14"/>
    <mergeCell ref="C23:J23"/>
    <mergeCell ref="W52:X52"/>
    <mergeCell ref="W9:X9"/>
    <mergeCell ref="M26:T26"/>
    <mergeCell ref="M41:T41"/>
    <mergeCell ref="K48:L48"/>
    <mergeCell ref="W39:X39"/>
    <mergeCell ref="W48:X48"/>
    <mergeCell ref="C7:J7"/>
    <mergeCell ref="M24:T24"/>
    <mergeCell ref="K38:L38"/>
    <mergeCell ref="M38:T38"/>
    <mergeCell ref="W29:X29"/>
    <mergeCell ref="W23:X23"/>
    <mergeCell ref="W38:X38"/>
    <mergeCell ref="C57:J57"/>
    <mergeCell ref="K4:L4"/>
    <mergeCell ref="A46:B56"/>
    <mergeCell ref="V1:X1"/>
    <mergeCell ref="C49:J49"/>
  </mergeCells>
  <dataValidations count="2">
    <dataValidation sqref="U20:U21" showDropDown="0" showInputMessage="1" showErrorMessage="1" allowBlank="1" type="list">
      <formula1>"A,B,C,D,E"</formula1>
    </dataValidation>
    <dataValidation sqref="U4:U19" showDropDown="0" showInputMessage="1" showErrorMessage="1" allowBlank="1" type="list">
      <formula1>"-,A,B,C,D,E"</formula1>
    </dataValidation>
  </dataValidations>
  <pageMargins left="0.2362204724409449" right="0.1574803149606299" top="0.2755905511811024" bottom="0.2" header="0.1968503937007874" footer="0.1181102362204725"/>
  <pageSetup orientation="landscape" paperSize="9" scale="7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0" sqref="A10"/>
    </sheetView>
  </sheetViews>
  <sheetFormatPr baseColWidth="8" defaultRowHeight="17"/>
  <sheetData>
    <row r="1">
      <c r="A1" s="5" t="n">
        <v>3</v>
      </c>
      <c r="B1" s="5">
        <f>A1*5</f>
        <v/>
      </c>
    </row>
    <row r="2">
      <c r="A2" s="5" t="n">
        <v>3</v>
      </c>
      <c r="B2" s="5">
        <f>A2*5</f>
        <v/>
      </c>
    </row>
    <row r="3">
      <c r="A3" s="5" t="n">
        <v>2</v>
      </c>
      <c r="B3" s="5">
        <f>A3*5</f>
        <v/>
      </c>
    </row>
    <row r="4">
      <c r="A4" s="5" t="n">
        <v>2</v>
      </c>
      <c r="B4" s="5">
        <f>A4*5</f>
        <v/>
      </c>
    </row>
    <row r="5">
      <c r="A5" s="5" t="n"/>
      <c r="B5" s="5">
        <f>SUM(B1:B4)</f>
        <v/>
      </c>
    </row>
    <row r="6">
      <c r="C6" s="0" t="inlineStr">
        <is>
          <t>遠超越</t>
        </is>
      </c>
      <c r="D6" s="0" t="inlineStr">
        <is>
          <t>超越</t>
        </is>
      </c>
      <c r="E6" s="0" t="inlineStr">
        <is>
          <t>符合</t>
        </is>
      </c>
      <c r="F6" s="0" t="inlineStr">
        <is>
          <t>低於</t>
        </is>
      </c>
      <c r="G6" s="0" t="inlineStr">
        <is>
          <t>越低於</t>
        </is>
      </c>
    </row>
    <row r="7">
      <c r="A7" s="4" t="n">
        <v>2</v>
      </c>
      <c r="B7" s="7">
        <f>A7*5</f>
        <v/>
      </c>
      <c r="C7" s="0">
        <f>B7*1</f>
        <v/>
      </c>
      <c r="D7" s="0">
        <f>B7*0.9</f>
        <v/>
      </c>
      <c r="E7" s="0">
        <f>B7*0.8</f>
        <v/>
      </c>
      <c r="F7" s="0">
        <f>B7*0.7</f>
        <v/>
      </c>
      <c r="G7" s="0">
        <f>B7*0.6</f>
        <v/>
      </c>
    </row>
    <row r="8">
      <c r="A8" s="4" t="n">
        <v>1</v>
      </c>
      <c r="B8" s="7">
        <f>A8*5</f>
        <v/>
      </c>
      <c r="C8" s="0">
        <f>B8*1</f>
        <v/>
      </c>
      <c r="D8" s="0">
        <f>B8*0.9</f>
        <v/>
      </c>
      <c r="E8" s="0">
        <f>B8*0.8</f>
        <v/>
      </c>
      <c r="F8" s="0">
        <f>B8*0.7</f>
        <v/>
      </c>
      <c r="G8" s="0">
        <f>B8*0.6</f>
        <v/>
      </c>
    </row>
    <row r="9">
      <c r="A9" s="6" t="n">
        <v>1</v>
      </c>
      <c r="B9" s="7">
        <f>A9*5</f>
        <v/>
      </c>
      <c r="C9" s="0">
        <f>B9*1</f>
        <v/>
      </c>
      <c r="D9" s="0">
        <f>B9*0.9</f>
        <v/>
      </c>
      <c r="E9" s="0">
        <f>B9*0.8</f>
        <v/>
      </c>
      <c r="F9" s="0">
        <f>B9*0.7</f>
        <v/>
      </c>
      <c r="G9" s="0">
        <f>B9*0.6</f>
        <v/>
      </c>
    </row>
    <row r="10">
      <c r="A10" s="4" t="n">
        <v>0.5</v>
      </c>
      <c r="B10" s="7">
        <f>A10*5</f>
        <v/>
      </c>
      <c r="C10" s="0">
        <f>B10*1</f>
        <v/>
      </c>
      <c r="D10" s="0">
        <f>B10*0.9</f>
        <v/>
      </c>
      <c r="E10" s="0">
        <f>B10*0.8</f>
        <v/>
      </c>
      <c r="F10" s="0">
        <f>B10*0.7</f>
        <v/>
      </c>
      <c r="G10" s="0">
        <f>B10*0.6</f>
        <v/>
      </c>
    </row>
    <row r="11">
      <c r="A11" s="4" t="n">
        <v>0.5</v>
      </c>
      <c r="B11" s="7">
        <f>A11*5</f>
        <v/>
      </c>
      <c r="C11" s="0">
        <f>B11*1</f>
        <v/>
      </c>
      <c r="D11" s="0">
        <f>B11*0.9</f>
        <v/>
      </c>
      <c r="E11" s="0">
        <f>B11*0.8</f>
        <v/>
      </c>
      <c r="F11" s="0">
        <f>B11*0.7</f>
        <v/>
      </c>
      <c r="G11" s="0">
        <f>B11*0.6</f>
        <v/>
      </c>
    </row>
    <row r="12">
      <c r="A12" s="4" t="n">
        <v>0.5</v>
      </c>
      <c r="B12" s="7">
        <f>A12*5</f>
        <v/>
      </c>
      <c r="C12" s="0">
        <f>B12*1</f>
        <v/>
      </c>
      <c r="D12" s="0">
        <f>B12*0.9</f>
        <v/>
      </c>
      <c r="E12" s="0">
        <f>B12*0.8</f>
        <v/>
      </c>
      <c r="F12" s="0">
        <f>B12*0.7</f>
        <v/>
      </c>
      <c r="G12" s="0">
        <f>B12*0.6</f>
        <v/>
      </c>
    </row>
    <row r="13">
      <c r="A13" s="4" t="n">
        <v>0.5</v>
      </c>
      <c r="B13" s="7">
        <f>A13*5</f>
        <v/>
      </c>
      <c r="C13" s="0">
        <f>B13*1</f>
        <v/>
      </c>
      <c r="D13" s="0">
        <f>B13*0.9</f>
        <v/>
      </c>
      <c r="E13" s="0">
        <f>B13*0.8</f>
        <v/>
      </c>
      <c r="F13" s="0">
        <f>B13*0.7</f>
        <v/>
      </c>
      <c r="G13" s="0">
        <f>B13*0.6</f>
        <v/>
      </c>
    </row>
    <row r="14">
      <c r="A14" s="4" t="n">
        <v>2.5</v>
      </c>
      <c r="B14" s="7">
        <f>A14*5</f>
        <v/>
      </c>
      <c r="C14" s="0">
        <f>B14*1</f>
        <v/>
      </c>
      <c r="D14" s="0">
        <f>B14*0.9</f>
        <v/>
      </c>
      <c r="E14" s="0">
        <f>B14*0.8</f>
        <v/>
      </c>
      <c r="F14" s="0">
        <f>B14*0.7</f>
        <v/>
      </c>
      <c r="G14" s="0">
        <f>B14*0.6</f>
        <v/>
      </c>
    </row>
    <row r="15">
      <c r="A15" s="4" t="n">
        <v>1.5</v>
      </c>
      <c r="B15" s="7">
        <f>A15*5</f>
        <v/>
      </c>
      <c r="C15" s="0">
        <f>B15*1</f>
        <v/>
      </c>
      <c r="D15" s="0">
        <f>B15*0.9</f>
        <v/>
      </c>
      <c r="E15" s="0">
        <f>B15*0.8</f>
        <v/>
      </c>
      <c r="F15" s="0">
        <f>B15*0.7</f>
        <v/>
      </c>
      <c r="G15" s="0">
        <f>B15*0.6</f>
        <v/>
      </c>
    </row>
    <row r="16">
      <c r="B16" s="7">
        <f>SUM(B7:B15)</f>
        <v/>
      </c>
      <c r="C16" s="0">
        <f>SUM(C7:C15)</f>
        <v/>
      </c>
      <c r="D16" s="0">
        <f>SUM(D7:D15)</f>
        <v/>
      </c>
      <c r="E16" s="0">
        <f>SUM(E7:E15)</f>
        <v/>
      </c>
      <c r="F16" s="0">
        <f>SUM(F7:F15)</f>
        <v/>
      </c>
      <c r="G16" s="0">
        <f>SUM(G7:G15)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J3" sqref="J3:O3"/>
    </sheetView>
  </sheetViews>
  <sheetFormatPr baseColWidth="8" defaultColWidth="8.7265625" defaultRowHeight="14.5"/>
  <cols>
    <col width="5.6328125" customWidth="1" style="6" min="1" max="19"/>
    <col width="8.7265625" customWidth="1" style="6" min="20" max="16384"/>
  </cols>
  <sheetData>
    <row r="1">
      <c r="A1" s="43" t="inlineStr">
        <is>
          <t>績效評表_單位自定目標</t>
        </is>
      </c>
      <c r="E1" s="45" t="inlineStr">
        <is>
          <t>Team別：</t>
        </is>
      </c>
      <c r="G1" s="43" t="inlineStr">
        <is>
          <t>數位應用開發</t>
        </is>
      </c>
      <c r="J1" s="43" t="inlineStr">
        <is>
          <t>姓名：</t>
        </is>
      </c>
      <c r="L1" s="43" t="inlineStr">
        <is>
          <t>林素霞</t>
        </is>
      </c>
      <c r="N1" s="43" t="inlineStr">
        <is>
          <t>初版日：</t>
        </is>
      </c>
      <c r="P1" s="42" t="n">
        <v>43536</v>
      </c>
    </row>
    <row r="2">
      <c r="N2" s="43" t="inlineStr">
        <is>
          <t>最終日：</t>
        </is>
      </c>
      <c r="P2" s="42" t="n">
        <v>43536</v>
      </c>
    </row>
    <row r="3">
      <c r="A3" s="44" t="inlineStr">
        <is>
          <t>績效分類</t>
        </is>
      </c>
      <c r="C3" s="43" t="inlineStr">
        <is>
          <t>績效目標</t>
        </is>
      </c>
      <c r="J3" s="43" t="inlineStr">
        <is>
          <t>績效目標</t>
        </is>
      </c>
    </row>
  </sheetData>
  <mergeCells count="12">
    <mergeCell ref="G1:I2"/>
    <mergeCell ref="A3:B3"/>
    <mergeCell ref="A1:D2"/>
    <mergeCell ref="N2:O2"/>
    <mergeCell ref="E1:F2"/>
    <mergeCell ref="P2:Q2"/>
    <mergeCell ref="P1:Q1"/>
    <mergeCell ref="L1:M2"/>
    <mergeCell ref="J1:K2"/>
    <mergeCell ref="C3:H3"/>
    <mergeCell ref="N1:O1"/>
    <mergeCell ref="J3:O3"/>
  </mergeCells>
  <pageMargins left="0.25" right="0.25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garfield</dc:creator>
  <dcterms:created xmlns:dcterms="http://purl.org/dc/terms/" xmlns:xsi="http://www.w3.org/2001/XMLSchema-instance" xsi:type="dcterms:W3CDTF">2019-05-10T00:45:37Z</dcterms:created>
  <dcterms:modified xmlns:dcterms="http://purl.org/dc/terms/" xmlns:xsi="http://www.w3.org/2001/XMLSchema-instance" xsi:type="dcterms:W3CDTF">2026-05-04T05:46:56Z</dcterms:modified>
  <cp:lastModifiedBy>廖崇智</cp:lastModifiedBy>
  <cp:lastPrinted>2025-03-25T02:51:38Z</cp:lastPrinted>
</cp:coreProperties>
</file>