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25\AI\MongoDB\2026\"/>
    </mc:Choice>
  </mc:AlternateContent>
  <bookViews>
    <workbookView xWindow="0" yWindow="0" windowWidth="19200" windowHeight="8070"/>
  </bookViews>
  <sheets>
    <sheet name="單位目標績效表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G15" i="2" l="1"/>
  <c r="E15" i="2"/>
  <c r="D15" i="2"/>
  <c r="C15" i="2"/>
  <c r="B15" i="2"/>
  <c r="F15" i="2" s="1"/>
  <c r="C14" i="2"/>
  <c r="B14" i="2"/>
  <c r="G14" i="2" s="1"/>
  <c r="G13" i="2"/>
  <c r="E13" i="2"/>
  <c r="D13" i="2"/>
  <c r="C13" i="2"/>
  <c r="B13" i="2"/>
  <c r="F13" i="2" s="1"/>
  <c r="C12" i="2"/>
  <c r="B12" i="2"/>
  <c r="G12" i="2" s="1"/>
  <c r="G11" i="2"/>
  <c r="E11" i="2"/>
  <c r="D11" i="2"/>
  <c r="C11" i="2"/>
  <c r="B11" i="2"/>
  <c r="F11" i="2" s="1"/>
  <c r="C10" i="2"/>
  <c r="B10" i="2"/>
  <c r="G10" i="2" s="1"/>
  <c r="G9" i="2"/>
  <c r="E9" i="2"/>
  <c r="D9" i="2"/>
  <c r="C9" i="2"/>
  <c r="B9" i="2"/>
  <c r="F9" i="2" s="1"/>
  <c r="C8" i="2"/>
  <c r="B8" i="2"/>
  <c r="G8" i="2" s="1"/>
  <c r="G7" i="2"/>
  <c r="E7" i="2"/>
  <c r="D7" i="2"/>
  <c r="C7" i="2"/>
  <c r="C16" i="2" s="1"/>
  <c r="B7" i="2"/>
  <c r="B16" i="2" s="1"/>
  <c r="B4" i="2"/>
  <c r="B3" i="2"/>
  <c r="B2" i="2"/>
  <c r="B1" i="2"/>
  <c r="B5" i="2" s="1"/>
  <c r="V53" i="1"/>
  <c r="W53" i="1" s="1"/>
  <c r="V52" i="1"/>
  <c r="W52" i="1" s="1"/>
  <c r="V51" i="1"/>
  <c r="W51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5" i="1"/>
  <c r="W25" i="1" s="1"/>
  <c r="V24" i="1"/>
  <c r="W24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V5" i="1"/>
  <c r="W5" i="1" s="1"/>
  <c r="V4" i="1"/>
  <c r="W4" i="1" s="1"/>
  <c r="W57" i="1" s="1"/>
  <c r="G16" i="2" l="1"/>
  <c r="F7" i="2"/>
  <c r="D8" i="2"/>
  <c r="D16" i="2" s="1"/>
  <c r="D10" i="2"/>
  <c r="D12" i="2"/>
  <c r="D14" i="2"/>
  <c r="E8" i="2"/>
  <c r="E16" i="2" s="1"/>
  <c r="E10" i="2"/>
  <c r="E12" i="2"/>
  <c r="E14" i="2"/>
  <c r="F8" i="2"/>
  <c r="F10" i="2"/>
  <c r="F12" i="2"/>
  <c r="F14" i="2"/>
  <c r="F16" i="2" l="1"/>
</calcChain>
</file>

<file path=xl/sharedStrings.xml><?xml version="1.0" encoding="utf-8"?>
<sst xmlns="http://schemas.openxmlformats.org/spreadsheetml/2006/main" count="95" uniqueCount="88">
  <si>
    <t>績效評表_單位自定目標</t>
  </si>
  <si>
    <t>Team名稱：</t>
  </si>
  <si>
    <t>數位應用開發</t>
  </si>
  <si>
    <t>員工姓名：</t>
  </si>
  <si>
    <t>全體成員</t>
  </si>
  <si>
    <t>初版日：</t>
  </si>
  <si>
    <t>最後改版日：</t>
  </si>
  <si>
    <t>績效分類</t>
  </si>
  <si>
    <t>績效目標</t>
  </si>
  <si>
    <t>設定比重
(10分)</t>
  </si>
  <si>
    <t>績效檢核</t>
  </si>
  <si>
    <t>評定</t>
  </si>
  <si>
    <t>評定結果
合計</t>
  </si>
  <si>
    <t>Team全體
(2)</t>
  </si>
  <si>
    <t>維運品質率：
人員通報件數+大量叫修件數_自責：小於30件</t>
  </si>
  <si>
    <t>維運品質率：
人員通報件數+大量叫修件數_自責：小於50件</t>
  </si>
  <si>
    <t>A系統</t>
  </si>
  <si>
    <t>A系統-實名認證/實名制檢核(7~9月)</t>
  </si>
  <si>
    <t>A系統-退票訂單by活動可選擇(12月)</t>
  </si>
  <si>
    <t>A系統-樂天桃猿APP需求(Phase II)(12月)</t>
  </si>
  <si>
    <t>A系統-票卡需求phase I(12月)</t>
  </si>
  <si>
    <t>A系統-svn版控轉移github(1月)</t>
  </si>
  <si>
    <t>A系統-限制同時多裝置操作購票(12月)</t>
  </si>
  <si>
    <t>A系統-後台活動埋廠商GA追蹤碼設定功能(12月)</t>
  </si>
  <si>
    <t>優化-OCC/ORS反組譯程式重建(12月)</t>
  </si>
  <si>
    <t>D系統</t>
  </si>
  <si>
    <t>D系統-秒殺自行選位(9月)</t>
  </si>
  <si>
    <t>D系統-秒殺繼續選購(8月)</t>
  </si>
  <si>
    <t>D系統-DB轉AWS(5月)</t>
  </si>
  <si>
    <t>D系統-社群歸戶(1-2月)</t>
  </si>
  <si>
    <t>D系統移轉PostgreSQL(5月上線)</t>
  </si>
  <si>
    <t>D系統AWS Log費用減量規畫(5月上線)</t>
  </si>
  <si>
    <t>D系統_會員必須先登功能(Q2)</t>
  </si>
  <si>
    <t>優化-D系統導入CI/CD部署流程</t>
  </si>
  <si>
    <t>K系統</t>
  </si>
  <si>
    <t>K系統-離峰班次回傳指定agent id(12月)</t>
  </si>
  <si>
    <t>E系統</t>
  </si>
  <si>
    <t>E系統-主辦權限優化(7月)</t>
  </si>
  <si>
    <t>E系統-ESIM卡(5月)</t>
  </si>
  <si>
    <t>會員平台</t>
  </si>
  <si>
    <t>社群會員平台_社群登入_服務平台化Phase1 (2026/Q1)</t>
  </si>
  <si>
    <t>社群會員平台_社群登入_會員手機TWCA身份認證(Q4)</t>
  </si>
  <si>
    <t>社群會員平台_社群登入_i禮讚APP串接(Q2)</t>
  </si>
  <si>
    <t>社群會員平台_社群登入_海外電信提供手動產OTP機制(Q2)</t>
  </si>
  <si>
    <t>社群會員平台_社群登入_優化已連動的手機號碼須再輸入登入密碼(Q2)</t>
  </si>
  <si>
    <t>社群會員平台_社群登入_Email修改需驗證(Q2)</t>
  </si>
  <si>
    <t>社群會員平台_優化_OP點數平台新增查詢介面提供雲端卡反查功能</t>
  </si>
  <si>
    <t>其他</t>
  </si>
  <si>
    <t>A/E系統-OP兌點(12月)</t>
  </si>
  <si>
    <t>Q系統-2.1G(12月)</t>
  </si>
  <si>
    <t>AI運用_Queueit排隊自動設定</t>
  </si>
  <si>
    <t>Predata改版(A/E/D)</t>
  </si>
  <si>
    <t>Azure FrontDoor 升級(禮贈/會員)(8月-9月)</t>
  </si>
  <si>
    <t>雲端主機EDR 導入CrowdStrike</t>
  </si>
  <si>
    <t>AI-協助系統Log分析與查詢</t>
  </si>
  <si>
    <t>維運平台
(2)</t>
  </si>
  <si>
    <t>A系統_維運協助(進度管理/系統檢討修改/調整/障礙確認)</t>
  </si>
  <si>
    <t>K系統_維運協助(進度管理/系統檢討修改/調整/障礙確認)</t>
  </si>
  <si>
    <t>Qware售票系統(A/C/D/Q/E)_維運協助(進度管理/系統檢討修改/調整/障礙確認)</t>
  </si>
  <si>
    <t>A/E系統(需求訪談/整體架構規劃/障礙確認)</t>
  </si>
  <si>
    <t>其它專案(需求訪談/整體架構規劃/障礙確認)</t>
  </si>
  <si>
    <t>Qware售票系統(A)_維運協助(進度管理/系統檢討修改/調整/障礙確認)</t>
  </si>
  <si>
    <t>(1)依需求緊急程度進行各項工作排定、品質控管，且進度能如期達成
(2)確實執行障礙的調查及管理</t>
  </si>
  <si>
    <t>社群會員平台(需求訪談/整體架構規劃/障礙確認)</t>
  </si>
  <si>
    <t>依需求的緊急需要，進行訪談匯整及對外包商進行需求的提出、進度管理。</t>
  </si>
  <si>
    <t>各平台相關報告</t>
  </si>
  <si>
    <t>依負責的平台，於會議進行說明報告</t>
  </si>
  <si>
    <t>Qware售票系統(A/D/E/球團App)_維運協助(進度管理/系統檢討修改/調整/障礙確認)</t>
  </si>
  <si>
    <t>D系統(需求訪談/整體架構規劃/障礙確認)</t>
  </si>
  <si>
    <t>Queue-it 調整Aws 服務串接實作
線上購票會員登入檢查機制</t>
  </si>
  <si>
    <t>雲端平台(日常維運、架構管理、障礙支援)</t>
  </si>
  <si>
    <t>導入 AWS 原生安全服務(GuardDuty/Security Hub)</t>
  </si>
  <si>
    <t>加分項目</t>
  </si>
  <si>
    <t>提案(依據經營企劃通報獎勵辦法)，由基本獎至重大貢獻獎依序總分加分為 0.5、0.5、0.75、1、1.25</t>
  </si>
  <si>
    <t>Team專案列表</t>
  </si>
  <si>
    <t>專利申請 (提出 : 總分+ 0.5 ， 申請通過: 總分+ 0.5  )</t>
  </si>
  <si>
    <t>遠超越</t>
  </si>
  <si>
    <t>超越</t>
  </si>
  <si>
    <t>符合</t>
  </si>
  <si>
    <t>低於</t>
  </si>
  <si>
    <t>越低於</t>
  </si>
  <si>
    <t>Team別：</t>
  </si>
  <si>
    <t>姓名：</t>
  </si>
  <si>
    <t>林素霞</t>
  </si>
  <si>
    <t>最終日：</t>
  </si>
  <si>
    <t>E系統-方案庫存(4月)</t>
    <phoneticPr fontId="1" type="noConversion"/>
  </si>
  <si>
    <t>A系統-AWS移轉(7月)</t>
    <phoneticPr fontId="1" type="noConversion"/>
  </si>
  <si>
    <t>E系統-AWS移轉(7月)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</si>
</sst>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4"/>
      <color theme="2" tint="-0.749992370372631"/>
      <name val="微軟正黑體"/>
      <family val="2"/>
      <charset val="136"/>
    </font>
    <font>
      <sz val="12"/>
      <color theme="2" tint="-0.749992370372631"/>
      <name val="微軟正黑體"/>
      <family val="2"/>
      <charset val="136"/>
    </font>
    <font>
      <b/>
      <sz val="10"/>
      <color theme="2" tint="-0.749992370372631"/>
      <name val="微軟正黑體"/>
      <family val="2"/>
      <charset val="136"/>
    </font>
    <font>
      <sz val="10"/>
      <color theme="2" tint="-0.749992370372631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4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6" xfId="0" applyBorder="1" applyAlignmen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left" vertical="top" wrapText="1"/>
    </xf>
    <xf numFmtId="0" fontId="0" fillId="0" borderId="5" xfId="0" applyBorder="1" applyAlignme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8" fillId="0" borderId="2" xfId="0" applyFont="1" applyBorder="1" applyAlignment="1">
      <alignment horizontal="center" vertical="center" wrapText="1"/>
    </xf>
    <xf numFmtId="0" fontId="0" fillId="0" borderId="11" xfId="0" applyBorder="1" applyAlignment="1"/>
    <xf numFmtId="0" fontId="7" fillId="0" borderId="1" xfId="0" applyFont="1" applyBorder="1" applyAlignment="1">
      <alignment horizontal="right" vertical="center"/>
    </xf>
    <xf numFmtId="0" fontId="9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7" fillId="0" borderId="1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12" xfId="0" applyBorder="1" applyAlignment="1"/>
    <xf numFmtId="0" fontId="8" fillId="0" borderId="2" xfId="0" applyFont="1" applyBorder="1" applyAlignment="1">
      <alignment horizontal="center" vertical="center"/>
    </xf>
    <xf numFmtId="0" fontId="0" fillId="0" borderId="13" xfId="0" applyBorder="1" applyAlignment="1"/>
    <xf numFmtId="14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4" fontId="4" fillId="0" borderId="0" xfId="0" applyNumberFormat="1" applyFont="1" applyAlignment="1">
      <alignment horizontal="center" vertical="center"/>
    </xf>
    <xf numFmtId="0" fontId="9" fillId="5" borderId="14" xfId="0" applyFont="1" applyFill="1" applyBorder="1" applyAlignment="1">
      <alignment horizontal="left" vertical="center" wrapText="1"/>
    </xf>
    <xf numFmtId="0" fontId="9" fillId="5" borderId="15" xfId="0" applyFont="1" applyFill="1" applyBorder="1" applyAlignment="1">
      <alignment horizontal="left" vertical="center" wrapText="1"/>
    </xf>
    <xf numFmtId="0" fontId="9" fillId="5" borderId="16" xfId="0" applyFont="1" applyFill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"/>
  <sheetViews>
    <sheetView tabSelected="1" topLeftCell="A28" zoomScale="150" zoomScaleNormal="150" zoomScaleSheetLayoutView="85" workbookViewId="0">
      <selection activeCell="O59" sqref="O59"/>
    </sheetView>
  </sheetViews>
  <sheetFormatPr defaultColWidth="8.7265625" defaultRowHeight="15.5" x14ac:dyDescent="0.4"/>
  <cols>
    <col min="1" max="9" width="5.6328125" style="1" customWidth="1"/>
    <col min="10" max="10" width="37.453125" style="1" customWidth="1"/>
    <col min="11" max="18" width="5.6328125" style="1" customWidth="1"/>
    <col min="19" max="19" width="7.08984375" style="1" customWidth="1"/>
    <col min="20" max="20" width="10.453125" style="1" customWidth="1"/>
    <col min="21" max="21" width="5.6328125" style="1" customWidth="1"/>
    <col min="22" max="22" width="9" style="1" bestFit="1" customWidth="1"/>
    <col min="23" max="24" width="5.6328125" style="1" customWidth="1"/>
    <col min="25" max="25" width="8.7265625" style="1" customWidth="1"/>
    <col min="26" max="16384" width="8.7265625" style="1"/>
  </cols>
  <sheetData>
    <row r="1" spans="1:24" ht="17" x14ac:dyDescent="0.4">
      <c r="A1" s="34" t="s">
        <v>0</v>
      </c>
      <c r="B1" s="29"/>
      <c r="C1" s="29"/>
      <c r="D1" s="29"/>
      <c r="E1" s="29"/>
      <c r="F1" s="25"/>
      <c r="G1" s="21" t="s">
        <v>1</v>
      </c>
      <c r="H1" s="29"/>
      <c r="I1" s="25"/>
      <c r="J1" s="28" t="s">
        <v>2</v>
      </c>
      <c r="K1" s="29"/>
      <c r="L1" s="25"/>
      <c r="M1" s="21" t="s">
        <v>3</v>
      </c>
      <c r="N1" s="29"/>
      <c r="O1" s="25"/>
      <c r="P1" s="28" t="s">
        <v>4</v>
      </c>
      <c r="Q1" s="29"/>
      <c r="R1" s="25"/>
      <c r="S1" s="21" t="s">
        <v>5</v>
      </c>
      <c r="T1" s="16"/>
      <c r="U1" s="12"/>
      <c r="V1" s="33">
        <v>46146</v>
      </c>
      <c r="W1" s="16"/>
      <c r="X1" s="12"/>
    </row>
    <row r="2" spans="1:24" ht="17" x14ac:dyDescent="0.4">
      <c r="A2" s="26"/>
      <c r="B2" s="30"/>
      <c r="C2" s="30"/>
      <c r="D2" s="30"/>
      <c r="E2" s="30"/>
      <c r="F2" s="27"/>
      <c r="G2" s="26"/>
      <c r="H2" s="30"/>
      <c r="I2" s="27"/>
      <c r="J2" s="26"/>
      <c r="K2" s="30"/>
      <c r="L2" s="27"/>
      <c r="M2" s="26"/>
      <c r="N2" s="30"/>
      <c r="O2" s="27"/>
      <c r="P2" s="26"/>
      <c r="Q2" s="30"/>
      <c r="R2" s="27"/>
      <c r="S2" s="21" t="s">
        <v>6</v>
      </c>
      <c r="T2" s="16"/>
      <c r="U2" s="12"/>
      <c r="V2" s="33">
        <v>46146</v>
      </c>
      <c r="W2" s="16"/>
      <c r="X2" s="12"/>
    </row>
    <row r="3" spans="1:24" s="4" customFormat="1" ht="30" customHeight="1" thickBot="1" x14ac:dyDescent="0.45">
      <c r="A3" s="31" t="s">
        <v>7</v>
      </c>
      <c r="B3" s="20"/>
      <c r="C3" s="31" t="s">
        <v>8</v>
      </c>
      <c r="D3" s="32"/>
      <c r="E3" s="32"/>
      <c r="F3" s="32"/>
      <c r="G3" s="32"/>
      <c r="H3" s="32"/>
      <c r="I3" s="32"/>
      <c r="J3" s="20"/>
      <c r="K3" s="19" t="s">
        <v>9</v>
      </c>
      <c r="L3" s="20"/>
      <c r="M3" s="31" t="s">
        <v>10</v>
      </c>
      <c r="N3" s="32"/>
      <c r="O3" s="32"/>
      <c r="P3" s="32"/>
      <c r="Q3" s="32"/>
      <c r="R3" s="32"/>
      <c r="S3" s="32"/>
      <c r="T3" s="20"/>
      <c r="U3" s="31" t="s">
        <v>11</v>
      </c>
      <c r="V3" s="20"/>
      <c r="W3" s="19" t="s">
        <v>12</v>
      </c>
      <c r="X3" s="20"/>
    </row>
    <row r="4" spans="1:24" s="4" customFormat="1" ht="57.75" customHeight="1" thickTop="1" thickBot="1" x14ac:dyDescent="0.45">
      <c r="A4" s="24" t="s">
        <v>13</v>
      </c>
      <c r="B4" s="25"/>
      <c r="C4" s="40" t="s">
        <v>14</v>
      </c>
      <c r="D4" s="41"/>
      <c r="E4" s="41"/>
      <c r="F4" s="41"/>
      <c r="G4" s="41"/>
      <c r="H4" s="41"/>
      <c r="I4" s="41"/>
      <c r="J4" s="42"/>
      <c r="K4" s="11">
        <v>2</v>
      </c>
      <c r="L4" s="12"/>
      <c r="M4" s="23"/>
      <c r="N4" s="16"/>
      <c r="O4" s="16"/>
      <c r="P4" s="16"/>
      <c r="Q4" s="16"/>
      <c r="R4" s="16"/>
      <c r="S4" s="16"/>
      <c r="T4" s="12"/>
      <c r="U4" s="7"/>
      <c r="V4" s="8" t="e">
        <f t="shared" ref="V4:V32" si="0">CODE(U4)</f>
        <v>#VALUE!</v>
      </c>
      <c r="W4" s="11" t="e">
        <f t="shared" ref="W4:W32" si="1">CHOOSE(V4-64,5,4.75,4.5,4.25,4)*K4</f>
        <v>#VALUE!</v>
      </c>
      <c r="X4" s="12"/>
    </row>
    <row r="5" spans="1:24" s="4" customFormat="1" ht="54.5" customHeight="1" thickTop="1" thickBot="1" x14ac:dyDescent="0.45">
      <c r="A5" s="26"/>
      <c r="B5" s="27"/>
      <c r="C5" s="40" t="s">
        <v>15</v>
      </c>
      <c r="D5" s="41"/>
      <c r="E5" s="41"/>
      <c r="F5" s="41"/>
      <c r="G5" s="41"/>
      <c r="H5" s="41"/>
      <c r="I5" s="41"/>
      <c r="J5" s="42"/>
      <c r="K5" s="22">
        <v>2</v>
      </c>
      <c r="L5" s="12"/>
      <c r="M5" s="15"/>
      <c r="N5" s="16"/>
      <c r="O5" s="16"/>
      <c r="P5" s="16"/>
      <c r="Q5" s="16"/>
      <c r="R5" s="16"/>
      <c r="S5" s="16"/>
      <c r="T5" s="12"/>
      <c r="U5" s="7"/>
      <c r="V5" s="8" t="e">
        <f t="shared" si="0"/>
        <v>#VALUE!</v>
      </c>
      <c r="W5" s="11" t="e">
        <f t="shared" si="1"/>
        <v>#VALUE!</v>
      </c>
      <c r="X5" s="12"/>
    </row>
    <row r="6" spans="1:24" s="4" customFormat="1" ht="41.5" customHeight="1" thickTop="1" thickBot="1" x14ac:dyDescent="0.45">
      <c r="A6" s="9" t="s">
        <v>16</v>
      </c>
      <c r="B6" s="14"/>
      <c r="C6" s="40" t="s">
        <v>86</v>
      </c>
      <c r="D6" s="41"/>
      <c r="E6" s="41"/>
      <c r="F6" s="41"/>
      <c r="G6" s="41"/>
      <c r="H6" s="41"/>
      <c r="I6" s="41"/>
      <c r="J6" s="42"/>
      <c r="K6" s="22">
        <v>1</v>
      </c>
      <c r="L6" s="12"/>
      <c r="M6" s="15"/>
      <c r="N6" s="16"/>
      <c r="O6" s="16"/>
      <c r="P6" s="16"/>
      <c r="Q6" s="16"/>
      <c r="R6" s="16"/>
      <c r="S6" s="16"/>
      <c r="T6" s="12"/>
      <c r="U6" s="7"/>
      <c r="V6" s="8" t="e">
        <f t="shared" si="0"/>
        <v>#VALUE!</v>
      </c>
      <c r="W6" s="11" t="e">
        <f t="shared" si="1"/>
        <v>#VALUE!</v>
      </c>
      <c r="X6" s="12"/>
    </row>
    <row r="7" spans="1:24" s="4" customFormat="1" ht="42.5" customHeight="1" thickTop="1" thickBot="1" x14ac:dyDescent="0.45">
      <c r="A7" s="14"/>
      <c r="B7" s="14"/>
      <c r="C7" s="40" t="s">
        <v>17</v>
      </c>
      <c r="D7" s="41"/>
      <c r="E7" s="41"/>
      <c r="F7" s="41"/>
      <c r="G7" s="41"/>
      <c r="H7" s="41"/>
      <c r="I7" s="41"/>
      <c r="J7" s="42"/>
      <c r="K7" s="22">
        <v>1.3</v>
      </c>
      <c r="L7" s="12"/>
      <c r="M7" s="15"/>
      <c r="N7" s="16"/>
      <c r="O7" s="16"/>
      <c r="P7" s="16"/>
      <c r="Q7" s="16"/>
      <c r="R7" s="16"/>
      <c r="S7" s="16"/>
      <c r="T7" s="12"/>
      <c r="U7" s="7"/>
      <c r="V7" s="8" t="e">
        <f t="shared" si="0"/>
        <v>#VALUE!</v>
      </c>
      <c r="W7" s="11" t="e">
        <f t="shared" si="1"/>
        <v>#VALUE!</v>
      </c>
      <c r="X7" s="12"/>
    </row>
    <row r="8" spans="1:24" s="4" customFormat="1" ht="42" customHeight="1" thickTop="1" thickBot="1" x14ac:dyDescent="0.45">
      <c r="A8" s="14"/>
      <c r="B8" s="14"/>
      <c r="C8" s="40" t="s">
        <v>18</v>
      </c>
      <c r="D8" s="41"/>
      <c r="E8" s="41"/>
      <c r="F8" s="41"/>
      <c r="G8" s="41"/>
      <c r="H8" s="41"/>
      <c r="I8" s="41"/>
      <c r="J8" s="42"/>
      <c r="K8" s="22">
        <v>0.3</v>
      </c>
      <c r="L8" s="12"/>
      <c r="M8" s="18"/>
      <c r="N8" s="16"/>
      <c r="O8" s="16"/>
      <c r="P8" s="16"/>
      <c r="Q8" s="16"/>
      <c r="R8" s="16"/>
      <c r="S8" s="16"/>
      <c r="T8" s="12"/>
      <c r="U8" s="7"/>
      <c r="V8" s="8" t="e">
        <f t="shared" si="0"/>
        <v>#VALUE!</v>
      </c>
      <c r="W8" s="11" t="e">
        <f t="shared" si="1"/>
        <v>#VALUE!</v>
      </c>
      <c r="X8" s="12"/>
    </row>
    <row r="9" spans="1:24" s="4" customFormat="1" ht="27.5" customHeight="1" thickTop="1" thickBot="1" x14ac:dyDescent="0.45">
      <c r="A9" s="14"/>
      <c r="B9" s="14"/>
      <c r="C9" s="40" t="s">
        <v>19</v>
      </c>
      <c r="D9" s="41"/>
      <c r="E9" s="41"/>
      <c r="F9" s="41"/>
      <c r="G9" s="41"/>
      <c r="H9" s="41"/>
      <c r="I9" s="41"/>
      <c r="J9" s="42"/>
      <c r="K9" s="22">
        <v>0.3</v>
      </c>
      <c r="L9" s="12"/>
      <c r="M9" s="15"/>
      <c r="N9" s="16"/>
      <c r="O9" s="16"/>
      <c r="P9" s="16"/>
      <c r="Q9" s="16"/>
      <c r="R9" s="16"/>
      <c r="S9" s="16"/>
      <c r="T9" s="12"/>
      <c r="U9" s="7"/>
      <c r="V9" s="8" t="e">
        <f t="shared" si="0"/>
        <v>#VALUE!</v>
      </c>
      <c r="W9" s="11" t="e">
        <f t="shared" si="1"/>
        <v>#VALUE!</v>
      </c>
      <c r="X9" s="12"/>
    </row>
    <row r="10" spans="1:24" s="4" customFormat="1" ht="28.5" customHeight="1" thickTop="1" thickBot="1" x14ac:dyDescent="0.45">
      <c r="A10" s="14"/>
      <c r="B10" s="14"/>
      <c r="C10" s="40" t="s">
        <v>20</v>
      </c>
      <c r="D10" s="41"/>
      <c r="E10" s="41"/>
      <c r="F10" s="41"/>
      <c r="G10" s="41"/>
      <c r="H10" s="41"/>
      <c r="I10" s="41"/>
      <c r="J10" s="42"/>
      <c r="K10" s="22">
        <v>0.3</v>
      </c>
      <c r="L10" s="12"/>
      <c r="M10" s="15"/>
      <c r="N10" s="16"/>
      <c r="O10" s="16"/>
      <c r="P10" s="16"/>
      <c r="Q10" s="16"/>
      <c r="R10" s="16"/>
      <c r="S10" s="16"/>
      <c r="T10" s="12"/>
      <c r="U10" s="7"/>
      <c r="V10" s="8" t="e">
        <f t="shared" si="0"/>
        <v>#VALUE!</v>
      </c>
      <c r="W10" s="11" t="e">
        <f t="shared" si="1"/>
        <v>#VALUE!</v>
      </c>
      <c r="X10" s="12"/>
    </row>
    <row r="11" spans="1:24" s="4" customFormat="1" ht="26.5" customHeight="1" thickTop="1" thickBot="1" x14ac:dyDescent="0.45">
      <c r="A11" s="14"/>
      <c r="B11" s="14"/>
      <c r="C11" s="40" t="s">
        <v>21</v>
      </c>
      <c r="D11" s="41"/>
      <c r="E11" s="41"/>
      <c r="F11" s="41"/>
      <c r="G11" s="41"/>
      <c r="H11" s="41"/>
      <c r="I11" s="41"/>
      <c r="J11" s="42"/>
      <c r="K11" s="22">
        <v>0.1</v>
      </c>
      <c r="L11" s="12"/>
      <c r="M11" s="15"/>
      <c r="N11" s="16"/>
      <c r="O11" s="16"/>
      <c r="P11" s="16"/>
      <c r="Q11" s="16"/>
      <c r="R11" s="16"/>
      <c r="S11" s="16"/>
      <c r="T11" s="12"/>
      <c r="U11" s="7"/>
      <c r="V11" s="8" t="e">
        <f t="shared" si="0"/>
        <v>#VALUE!</v>
      </c>
      <c r="W11" s="11" t="e">
        <f t="shared" si="1"/>
        <v>#VALUE!</v>
      </c>
      <c r="X11" s="12"/>
    </row>
    <row r="12" spans="1:24" s="4" customFormat="1" ht="30.5" customHeight="1" thickTop="1" thickBot="1" x14ac:dyDescent="0.45">
      <c r="A12" s="14"/>
      <c r="B12" s="14"/>
      <c r="C12" s="40" t="s">
        <v>22</v>
      </c>
      <c r="D12" s="41"/>
      <c r="E12" s="41"/>
      <c r="F12" s="41"/>
      <c r="G12" s="41"/>
      <c r="H12" s="41"/>
      <c r="I12" s="41"/>
      <c r="J12" s="42"/>
      <c r="K12" s="22">
        <v>0.5</v>
      </c>
      <c r="L12" s="12"/>
      <c r="M12" s="15"/>
      <c r="N12" s="16"/>
      <c r="O12" s="16"/>
      <c r="P12" s="16"/>
      <c r="Q12" s="16"/>
      <c r="R12" s="16"/>
      <c r="S12" s="16"/>
      <c r="T12" s="12"/>
      <c r="U12" s="7"/>
      <c r="V12" s="8" t="e">
        <f t="shared" si="0"/>
        <v>#VALUE!</v>
      </c>
      <c r="W12" s="11" t="e">
        <f t="shared" si="1"/>
        <v>#VALUE!</v>
      </c>
      <c r="X12" s="12"/>
    </row>
    <row r="13" spans="1:24" s="4" customFormat="1" ht="27.5" customHeight="1" thickTop="1" thickBot="1" x14ac:dyDescent="0.45">
      <c r="A13" s="14"/>
      <c r="B13" s="14"/>
      <c r="C13" s="40" t="s">
        <v>23</v>
      </c>
      <c r="D13" s="41"/>
      <c r="E13" s="41"/>
      <c r="F13" s="41"/>
      <c r="G13" s="41"/>
      <c r="H13" s="41"/>
      <c r="I13" s="41"/>
      <c r="J13" s="42"/>
      <c r="K13" s="22">
        <v>0.2</v>
      </c>
      <c r="L13" s="12"/>
      <c r="M13" s="15"/>
      <c r="N13" s="16"/>
      <c r="O13" s="16"/>
      <c r="P13" s="16"/>
      <c r="Q13" s="16"/>
      <c r="R13" s="16"/>
      <c r="S13" s="16"/>
      <c r="T13" s="12"/>
      <c r="U13" s="7"/>
      <c r="V13" s="8" t="e">
        <f t="shared" si="0"/>
        <v>#VALUE!</v>
      </c>
      <c r="W13" s="11" t="e">
        <f t="shared" si="1"/>
        <v>#VALUE!</v>
      </c>
      <c r="X13" s="12"/>
    </row>
    <row r="14" spans="1:24" s="4" customFormat="1" ht="17" customHeight="1" thickTop="1" thickBot="1" x14ac:dyDescent="0.45">
      <c r="A14" s="14"/>
      <c r="B14" s="14"/>
      <c r="C14" s="40" t="s">
        <v>24</v>
      </c>
      <c r="D14" s="41"/>
      <c r="E14" s="41"/>
      <c r="F14" s="41"/>
      <c r="G14" s="41"/>
      <c r="H14" s="41"/>
      <c r="I14" s="41"/>
      <c r="J14" s="42"/>
      <c r="K14" s="22">
        <v>0.5</v>
      </c>
      <c r="L14" s="12"/>
      <c r="M14" s="15"/>
      <c r="N14" s="16"/>
      <c r="O14" s="16"/>
      <c r="P14" s="16"/>
      <c r="Q14" s="16"/>
      <c r="R14" s="16"/>
      <c r="S14" s="16"/>
      <c r="T14" s="12"/>
      <c r="U14" s="7"/>
      <c r="V14" s="8" t="e">
        <f t="shared" si="0"/>
        <v>#VALUE!</v>
      </c>
      <c r="W14" s="11" t="e">
        <f t="shared" si="1"/>
        <v>#VALUE!</v>
      </c>
      <c r="X14" s="12"/>
    </row>
    <row r="15" spans="1:24" s="4" customFormat="1" ht="30" customHeight="1" thickTop="1" x14ac:dyDescent="0.4">
      <c r="A15" s="9" t="s">
        <v>25</v>
      </c>
      <c r="B15" s="14"/>
      <c r="C15" s="40" t="s">
        <v>26</v>
      </c>
      <c r="D15" s="41"/>
      <c r="E15" s="41"/>
      <c r="F15" s="41"/>
      <c r="G15" s="41"/>
      <c r="H15" s="41"/>
      <c r="I15" s="41"/>
      <c r="J15" s="42"/>
      <c r="K15" s="11">
        <v>0.6</v>
      </c>
      <c r="L15" s="12"/>
      <c r="M15" s="17"/>
      <c r="N15" s="16"/>
      <c r="O15" s="16"/>
      <c r="P15" s="16"/>
      <c r="Q15" s="16"/>
      <c r="R15" s="16"/>
      <c r="S15" s="16"/>
      <c r="T15" s="12"/>
      <c r="U15" s="6"/>
      <c r="V15" s="6" t="e">
        <f t="shared" si="0"/>
        <v>#VALUE!</v>
      </c>
      <c r="W15" s="11" t="e">
        <f t="shared" si="1"/>
        <v>#VALUE!</v>
      </c>
      <c r="X15" s="12"/>
    </row>
    <row r="16" spans="1:24" s="4" customFormat="1" ht="14.5" customHeight="1" x14ac:dyDescent="0.4">
      <c r="A16" s="14"/>
      <c r="B16" s="14"/>
      <c r="C16" s="43" t="s">
        <v>27</v>
      </c>
      <c r="D16" s="44"/>
      <c r="E16" s="44"/>
      <c r="F16" s="44"/>
      <c r="G16" s="44"/>
      <c r="H16" s="44"/>
      <c r="I16" s="44"/>
      <c r="J16" s="45"/>
      <c r="K16" s="11">
        <v>0.6</v>
      </c>
      <c r="L16" s="12"/>
      <c r="M16" s="23"/>
      <c r="N16" s="16"/>
      <c r="O16" s="16"/>
      <c r="P16" s="16"/>
      <c r="Q16" s="16"/>
      <c r="R16" s="16"/>
      <c r="S16" s="16"/>
      <c r="T16" s="12"/>
      <c r="U16" s="6"/>
      <c r="V16" s="6" t="e">
        <f t="shared" si="0"/>
        <v>#VALUE!</v>
      </c>
      <c r="W16" s="11" t="e">
        <f t="shared" si="1"/>
        <v>#VALUE!</v>
      </c>
      <c r="X16" s="12"/>
    </row>
    <row r="17" spans="1:24" s="4" customFormat="1" ht="14.5" customHeight="1" x14ac:dyDescent="0.4">
      <c r="A17" s="14"/>
      <c r="B17" s="14"/>
      <c r="C17" s="43" t="s">
        <v>28</v>
      </c>
      <c r="D17" s="44"/>
      <c r="E17" s="44"/>
      <c r="F17" s="44"/>
      <c r="G17" s="44"/>
      <c r="H17" s="44"/>
      <c r="I17" s="44"/>
      <c r="J17" s="45"/>
      <c r="K17" s="11">
        <v>0.3</v>
      </c>
      <c r="L17" s="12"/>
      <c r="M17" s="17"/>
      <c r="N17" s="16"/>
      <c r="O17" s="16"/>
      <c r="P17" s="16"/>
      <c r="Q17" s="16"/>
      <c r="R17" s="16"/>
      <c r="S17" s="16"/>
      <c r="T17" s="12"/>
      <c r="U17" s="6"/>
      <c r="V17" s="6" t="e">
        <f t="shared" si="0"/>
        <v>#VALUE!</v>
      </c>
      <c r="W17" s="11" t="e">
        <f t="shared" si="1"/>
        <v>#VALUE!</v>
      </c>
      <c r="X17" s="12"/>
    </row>
    <row r="18" spans="1:24" s="4" customFormat="1" ht="14.5" customHeight="1" x14ac:dyDescent="0.4">
      <c r="A18" s="14"/>
      <c r="B18" s="14"/>
      <c r="C18" s="46" t="s">
        <v>29</v>
      </c>
      <c r="D18" s="46"/>
      <c r="E18" s="46"/>
      <c r="F18" s="46"/>
      <c r="G18" s="46"/>
      <c r="H18" s="46"/>
      <c r="I18" s="46"/>
      <c r="J18" s="46"/>
      <c r="K18" s="13">
        <v>0.5</v>
      </c>
      <c r="L18" s="14"/>
      <c r="M18" s="13"/>
      <c r="N18" s="14"/>
      <c r="O18" s="14"/>
      <c r="P18" s="14"/>
      <c r="Q18" s="14"/>
      <c r="R18" s="14"/>
      <c r="S18" s="14"/>
      <c r="T18" s="14"/>
      <c r="U18" s="2"/>
      <c r="V18" s="2" t="e">
        <f t="shared" si="0"/>
        <v>#VALUE!</v>
      </c>
      <c r="W18" s="35" t="e">
        <f t="shared" si="1"/>
        <v>#VALUE!</v>
      </c>
      <c r="X18" s="29"/>
    </row>
    <row r="19" spans="1:24" s="4" customFormat="1" ht="14.5" customHeight="1" x14ac:dyDescent="0.4">
      <c r="A19" s="14"/>
      <c r="B19" s="14"/>
      <c r="C19" s="13" t="s">
        <v>30</v>
      </c>
      <c r="D19" s="13"/>
      <c r="E19" s="13"/>
      <c r="F19" s="13"/>
      <c r="G19" s="13"/>
      <c r="H19" s="13"/>
      <c r="I19" s="13"/>
      <c r="J19" s="13"/>
      <c r="K19" s="13">
        <v>2</v>
      </c>
      <c r="L19" s="14"/>
      <c r="M19" s="13"/>
      <c r="N19" s="14"/>
      <c r="O19" s="14"/>
      <c r="P19" s="14"/>
      <c r="Q19" s="14"/>
      <c r="R19" s="14"/>
      <c r="S19" s="14"/>
      <c r="T19" s="14"/>
      <c r="U19" s="2"/>
      <c r="V19" t="e">
        <f t="shared" si="0"/>
        <v>#VALUE!</v>
      </c>
      <c r="W19" s="9" t="e">
        <f t="shared" si="1"/>
        <v>#VALUE!</v>
      </c>
      <c r="X19" s="14"/>
    </row>
    <row r="20" spans="1:24" s="4" customFormat="1" ht="14.5" customHeight="1" x14ac:dyDescent="0.4">
      <c r="A20" s="14"/>
      <c r="B20" s="14"/>
      <c r="C20" s="13" t="s">
        <v>31</v>
      </c>
      <c r="D20" s="13"/>
      <c r="E20" s="13"/>
      <c r="F20" s="13"/>
      <c r="G20" s="13"/>
      <c r="H20" s="13"/>
      <c r="I20" s="13"/>
      <c r="J20" s="13"/>
      <c r="K20" s="13">
        <v>0.5</v>
      </c>
      <c r="L20" s="14"/>
      <c r="M20" s="13"/>
      <c r="N20" s="14"/>
      <c r="O20" s="14"/>
      <c r="P20" s="14"/>
      <c r="Q20" s="14"/>
      <c r="R20" s="14"/>
      <c r="S20" s="14"/>
      <c r="T20" s="14"/>
      <c r="U20" s="2"/>
      <c r="V20" s="2" t="e">
        <f t="shared" si="0"/>
        <v>#VALUE!</v>
      </c>
      <c r="W20" s="13" t="e">
        <f t="shared" si="1"/>
        <v>#VALUE!</v>
      </c>
      <c r="X20" s="14"/>
    </row>
    <row r="21" spans="1:24" s="4" customFormat="1" ht="14.5" customHeight="1" x14ac:dyDescent="0.4">
      <c r="A21" s="14"/>
      <c r="B21" s="14"/>
      <c r="C21" s="13" t="s">
        <v>32</v>
      </c>
      <c r="D21" s="13"/>
      <c r="E21" s="13"/>
      <c r="F21" s="13"/>
      <c r="G21" s="13"/>
      <c r="H21" s="13"/>
      <c r="I21" s="13"/>
      <c r="J21" s="13"/>
      <c r="K21" s="13">
        <v>0.5</v>
      </c>
      <c r="L21" s="14"/>
      <c r="M21" s="13"/>
      <c r="N21" s="14"/>
      <c r="O21" s="14"/>
      <c r="P21" s="14"/>
      <c r="Q21" s="14"/>
      <c r="R21" s="14"/>
      <c r="S21" s="14"/>
      <c r="T21" s="14"/>
      <c r="U21" s="2"/>
      <c r="V21" s="2" t="e">
        <f t="shared" si="0"/>
        <v>#VALUE!</v>
      </c>
      <c r="W21" s="13" t="e">
        <f t="shared" si="1"/>
        <v>#VALUE!</v>
      </c>
      <c r="X21" s="14"/>
    </row>
    <row r="22" spans="1:24" s="4" customFormat="1" ht="14.5" customHeight="1" x14ac:dyDescent="0.4">
      <c r="A22" s="14"/>
      <c r="B22" s="14"/>
      <c r="C22" s="13" t="s">
        <v>33</v>
      </c>
      <c r="D22" s="13"/>
      <c r="E22" s="13"/>
      <c r="F22" s="13"/>
      <c r="G22" s="13"/>
      <c r="H22" s="13"/>
      <c r="I22" s="13"/>
      <c r="J22" s="13"/>
      <c r="K22" s="13">
        <v>0.25</v>
      </c>
      <c r="L22" s="14"/>
      <c r="M22" s="13"/>
      <c r="N22" s="14"/>
      <c r="O22" s="14"/>
      <c r="P22" s="14"/>
      <c r="Q22" s="14"/>
      <c r="R22" s="14"/>
      <c r="S22" s="14"/>
      <c r="T22" s="14"/>
      <c r="U22" s="2"/>
      <c r="V22" s="2" t="e">
        <f t="shared" si="0"/>
        <v>#VALUE!</v>
      </c>
      <c r="W22" s="13" t="e">
        <f t="shared" si="1"/>
        <v>#VALUE!</v>
      </c>
      <c r="X22" s="14"/>
    </row>
    <row r="23" spans="1:24" s="4" customFormat="1" ht="14.5" customHeight="1" x14ac:dyDescent="0.4">
      <c r="A23" s="47" t="s">
        <v>34</v>
      </c>
      <c r="B23" s="47"/>
      <c r="C23" s="13" t="s">
        <v>87</v>
      </c>
      <c r="D23" s="13"/>
      <c r="E23" s="13"/>
      <c r="F23" s="13"/>
      <c r="G23" s="13"/>
      <c r="H23" s="13"/>
      <c r="I23" s="13"/>
      <c r="J23" s="13"/>
      <c r="K23" s="13"/>
      <c r="L23" s="14"/>
      <c r="M23" s="13"/>
      <c r="N23" s="14"/>
      <c r="O23" s="14"/>
      <c r="P23" s="14"/>
      <c r="Q23" s="14"/>
      <c r="R23" s="14"/>
      <c r="S23" s="14"/>
      <c r="T23" s="14"/>
      <c r="U23" s="2"/>
      <c r="V23" s="2"/>
      <c r="W23" s="2"/>
    </row>
    <row r="24" spans="1:24" s="4" customFormat="1" ht="14.5" customHeight="1" x14ac:dyDescent="0.4">
      <c r="A24" s="47"/>
      <c r="B24" s="47"/>
      <c r="C24" s="13" t="s">
        <v>35</v>
      </c>
      <c r="D24" s="13"/>
      <c r="E24" s="13"/>
      <c r="F24" s="13"/>
      <c r="G24" s="13"/>
      <c r="H24" s="13"/>
      <c r="I24" s="13"/>
      <c r="J24" s="13"/>
      <c r="K24" s="13">
        <v>0.5</v>
      </c>
      <c r="L24" s="14"/>
      <c r="M24" s="13"/>
      <c r="N24" s="14"/>
      <c r="O24" s="14"/>
      <c r="P24" s="14"/>
      <c r="Q24" s="14"/>
      <c r="R24" s="14"/>
      <c r="S24" s="14"/>
      <c r="T24" s="14"/>
      <c r="U24" s="2"/>
      <c r="V24" s="2" t="e">
        <f t="shared" si="0"/>
        <v>#VALUE!</v>
      </c>
      <c r="W24" s="13" t="e">
        <f t="shared" si="1"/>
        <v>#VALUE!</v>
      </c>
      <c r="X24" s="14"/>
    </row>
    <row r="25" spans="1:24" s="4" customFormat="1" ht="14.5" customHeight="1" x14ac:dyDescent="0.4">
      <c r="A25" s="9" t="s">
        <v>36</v>
      </c>
      <c r="B25" s="14"/>
      <c r="C25" s="13" t="s">
        <v>87</v>
      </c>
      <c r="D25" s="13"/>
      <c r="E25" s="13"/>
      <c r="F25" s="13"/>
      <c r="G25" s="13"/>
      <c r="H25" s="13"/>
      <c r="I25" s="13"/>
      <c r="J25" s="13"/>
      <c r="K25" s="13">
        <v>0.5</v>
      </c>
      <c r="L25" s="14"/>
      <c r="M25" s="13"/>
      <c r="N25" s="14"/>
      <c r="O25" s="14"/>
      <c r="P25" s="14"/>
      <c r="Q25" s="14"/>
      <c r="R25" s="14"/>
      <c r="S25" s="14"/>
      <c r="T25" s="14"/>
      <c r="U25" s="2"/>
      <c r="V25" s="2" t="e">
        <f t="shared" si="0"/>
        <v>#VALUE!</v>
      </c>
      <c r="W25" s="13" t="e">
        <f t="shared" si="1"/>
        <v>#VALUE!</v>
      </c>
      <c r="X25" s="14"/>
    </row>
    <row r="26" spans="1:24" s="4" customFormat="1" ht="14.5" customHeight="1" x14ac:dyDescent="0.4">
      <c r="A26" s="9"/>
      <c r="B26" s="14"/>
      <c r="C26" s="13" t="s">
        <v>37</v>
      </c>
      <c r="D26" s="13"/>
      <c r="E26" s="13"/>
      <c r="F26" s="13"/>
      <c r="G26" s="13"/>
      <c r="H26" s="13"/>
      <c r="I26" s="13"/>
      <c r="J26" s="13"/>
      <c r="K26" s="13"/>
      <c r="L26" s="14"/>
      <c r="M26" s="13"/>
      <c r="N26" s="14"/>
      <c r="O26" s="14"/>
      <c r="P26" s="14"/>
      <c r="Q26" s="14"/>
      <c r="R26" s="14"/>
      <c r="S26" s="14"/>
      <c r="T26" s="14"/>
      <c r="U26" s="2"/>
      <c r="V26" s="2"/>
      <c r="W26" s="2"/>
    </row>
    <row r="27" spans="1:24" s="4" customFormat="1" ht="14.5" customHeight="1" x14ac:dyDescent="0.4">
      <c r="A27" s="14"/>
      <c r="B27" s="14"/>
      <c r="C27" s="13" t="s">
        <v>85</v>
      </c>
      <c r="D27" s="13"/>
      <c r="E27" s="13"/>
      <c r="F27" s="13"/>
      <c r="G27" s="13"/>
      <c r="H27" s="13"/>
      <c r="I27" s="13"/>
      <c r="J27" s="13"/>
      <c r="K27" s="13">
        <v>0.3</v>
      </c>
      <c r="L27" s="14"/>
      <c r="M27" s="13"/>
      <c r="N27" s="14"/>
      <c r="O27" s="14"/>
      <c r="P27" s="14"/>
      <c r="Q27" s="14"/>
      <c r="R27" s="14"/>
      <c r="S27" s="14"/>
      <c r="T27" s="14"/>
      <c r="U27" s="2"/>
      <c r="V27" s="2" t="e">
        <f t="shared" si="0"/>
        <v>#VALUE!</v>
      </c>
      <c r="W27" s="13" t="e">
        <f t="shared" si="1"/>
        <v>#VALUE!</v>
      </c>
      <c r="X27" s="14"/>
    </row>
    <row r="28" spans="1:24" s="4" customFormat="1" ht="14.5" customHeight="1" thickBot="1" x14ac:dyDescent="0.45">
      <c r="A28" s="14"/>
      <c r="B28" s="14"/>
      <c r="C28" s="13" t="s">
        <v>38</v>
      </c>
      <c r="D28" s="13"/>
      <c r="E28" s="13"/>
      <c r="F28" s="13"/>
      <c r="G28" s="13"/>
      <c r="H28" s="13"/>
      <c r="I28" s="13"/>
      <c r="J28" s="13"/>
      <c r="K28" s="13">
        <v>0.4</v>
      </c>
      <c r="L28" s="14"/>
      <c r="M28" s="13"/>
      <c r="N28" s="14"/>
      <c r="O28" s="14"/>
      <c r="P28" s="14"/>
      <c r="Q28" s="14"/>
      <c r="R28" s="14"/>
      <c r="S28" s="14"/>
      <c r="T28" s="14"/>
      <c r="U28" s="2"/>
      <c r="V28" s="2" t="e">
        <f t="shared" si="0"/>
        <v>#VALUE!</v>
      </c>
      <c r="W28" s="13" t="e">
        <f t="shared" si="1"/>
        <v>#VALUE!</v>
      </c>
      <c r="X28" s="14"/>
    </row>
    <row r="29" spans="1:24" s="4" customFormat="1" ht="14.5" customHeight="1" thickTop="1" x14ac:dyDescent="0.4">
      <c r="A29" s="9" t="s">
        <v>39</v>
      </c>
      <c r="B29" s="14"/>
      <c r="C29" s="40" t="s">
        <v>40</v>
      </c>
      <c r="D29" s="41"/>
      <c r="E29" s="41"/>
      <c r="F29" s="41"/>
      <c r="G29" s="41"/>
      <c r="H29" s="41"/>
      <c r="I29" s="41"/>
      <c r="J29" s="42"/>
      <c r="K29" s="13">
        <v>1</v>
      </c>
      <c r="L29" s="14"/>
      <c r="M29" s="13"/>
      <c r="N29" s="14"/>
      <c r="O29" s="14"/>
      <c r="P29" s="14"/>
      <c r="Q29" s="14"/>
      <c r="R29" s="14"/>
      <c r="S29" s="14"/>
      <c r="T29" s="14"/>
      <c r="U29" s="2"/>
      <c r="V29" s="2" t="e">
        <f t="shared" si="0"/>
        <v>#VALUE!</v>
      </c>
      <c r="W29" s="13" t="e">
        <f t="shared" si="1"/>
        <v>#VALUE!</v>
      </c>
      <c r="X29" s="14"/>
    </row>
    <row r="30" spans="1:24" s="4" customFormat="1" ht="14.5" customHeight="1" thickBot="1" x14ac:dyDescent="0.45">
      <c r="A30" s="14"/>
      <c r="B30" s="14"/>
      <c r="C30" s="13" t="s">
        <v>41</v>
      </c>
      <c r="D30" s="13"/>
      <c r="E30" s="13"/>
      <c r="F30" s="13"/>
      <c r="G30" s="13"/>
      <c r="H30" s="13"/>
      <c r="I30" s="13"/>
      <c r="J30" s="13"/>
      <c r="K30" s="13">
        <v>1</v>
      </c>
      <c r="L30" s="14"/>
      <c r="M30" s="13"/>
      <c r="N30" s="14"/>
      <c r="O30" s="14"/>
      <c r="P30" s="14"/>
      <c r="Q30" s="14"/>
      <c r="R30" s="14"/>
      <c r="S30" s="14"/>
      <c r="T30" s="14"/>
      <c r="U30" s="2"/>
      <c r="V30" s="2" t="e">
        <f t="shared" si="0"/>
        <v>#VALUE!</v>
      </c>
      <c r="W30" s="13" t="e">
        <f t="shared" si="1"/>
        <v>#VALUE!</v>
      </c>
      <c r="X30" s="14"/>
    </row>
    <row r="31" spans="1:24" s="4" customFormat="1" ht="14.5" customHeight="1" thickTop="1" x14ac:dyDescent="0.4">
      <c r="A31" s="14"/>
      <c r="B31" s="14"/>
      <c r="C31" s="40" t="s">
        <v>42</v>
      </c>
      <c r="D31" s="41"/>
      <c r="E31" s="41"/>
      <c r="F31" s="41"/>
      <c r="G31" s="41"/>
      <c r="H31" s="41"/>
      <c r="I31" s="41"/>
      <c r="J31" s="42"/>
      <c r="K31" s="13">
        <v>0.5</v>
      </c>
      <c r="L31" s="14"/>
      <c r="M31" s="13"/>
      <c r="N31" s="14"/>
      <c r="O31" s="14"/>
      <c r="P31" s="14"/>
      <c r="Q31" s="14"/>
      <c r="R31" s="14"/>
      <c r="S31" s="14"/>
      <c r="T31" s="14"/>
      <c r="U31" s="2"/>
      <c r="V31" s="2" t="e">
        <f t="shared" si="0"/>
        <v>#VALUE!</v>
      </c>
      <c r="W31" s="13" t="e">
        <f t="shared" si="1"/>
        <v>#VALUE!</v>
      </c>
      <c r="X31" s="14"/>
    </row>
    <row r="32" spans="1:24" s="4" customFormat="1" ht="14.5" customHeight="1" x14ac:dyDescent="0.4">
      <c r="A32" s="14"/>
      <c r="B32" s="14"/>
      <c r="C32" s="13" t="s">
        <v>43</v>
      </c>
      <c r="D32" s="13"/>
      <c r="E32" s="13"/>
      <c r="F32" s="13"/>
      <c r="G32" s="13"/>
      <c r="H32" s="13"/>
      <c r="I32" s="13"/>
      <c r="J32" s="13"/>
      <c r="K32" s="13">
        <v>1</v>
      </c>
      <c r="L32" s="14"/>
      <c r="M32" s="13"/>
      <c r="N32" s="14"/>
      <c r="O32" s="14"/>
      <c r="P32" s="14"/>
      <c r="Q32" s="14"/>
      <c r="R32" s="14"/>
      <c r="S32" s="14"/>
      <c r="T32" s="14"/>
      <c r="U32" s="2"/>
      <c r="V32" s="2" t="e">
        <f t="shared" si="0"/>
        <v>#VALUE!</v>
      </c>
      <c r="W32" s="13" t="e">
        <f t="shared" si="1"/>
        <v>#VALUE!</v>
      </c>
      <c r="X32" s="14"/>
    </row>
    <row r="33" spans="1:24" x14ac:dyDescent="0.4">
      <c r="A33" s="10"/>
      <c r="B33" s="10"/>
      <c r="C33" s="13" t="s">
        <v>44</v>
      </c>
      <c r="D33" s="13"/>
      <c r="E33" s="13"/>
      <c r="F33" s="13"/>
      <c r="G33" s="13"/>
      <c r="H33" s="13"/>
      <c r="I33" s="13"/>
      <c r="J33" s="13"/>
      <c r="K33" s="13">
        <v>0.5</v>
      </c>
      <c r="L33" s="10"/>
      <c r="M33" s="13"/>
      <c r="N33" s="10"/>
      <c r="O33" s="10"/>
      <c r="P33" s="10"/>
      <c r="Q33" s="10"/>
      <c r="R33" s="10"/>
      <c r="S33" s="10"/>
      <c r="T33" s="10"/>
      <c r="U33" s="2"/>
      <c r="V33" s="2" t="e">
        <f t="shared" ref="V33:V64" si="2">CODE(U33)</f>
        <v>#VALUE!</v>
      </c>
      <c r="W33" s="13" t="e">
        <f t="shared" ref="W33:W64" si="3">CHOOSE(V33-64,5,4.75,4.5,4.25,4)*K33</f>
        <v>#VALUE!</v>
      </c>
      <c r="X33" s="10"/>
    </row>
    <row r="34" spans="1:24" x14ac:dyDescent="0.4">
      <c r="A34" s="10"/>
      <c r="B34" s="10"/>
      <c r="C34" s="13" t="s">
        <v>45</v>
      </c>
      <c r="D34" s="13"/>
      <c r="E34" s="13"/>
      <c r="F34" s="13"/>
      <c r="G34" s="13"/>
      <c r="H34" s="13"/>
      <c r="I34" s="13"/>
      <c r="J34" s="13"/>
      <c r="K34" s="13">
        <v>0.5</v>
      </c>
      <c r="L34" s="10"/>
      <c r="M34" s="13"/>
      <c r="N34" s="10"/>
      <c r="O34" s="10"/>
      <c r="P34" s="10"/>
      <c r="Q34" s="10"/>
      <c r="R34" s="10"/>
      <c r="S34" s="10"/>
      <c r="T34" s="10"/>
      <c r="U34" s="2"/>
      <c r="V34" s="2" t="e">
        <f t="shared" si="2"/>
        <v>#VALUE!</v>
      </c>
      <c r="W34" s="13" t="e">
        <f t="shared" si="3"/>
        <v>#VALUE!</v>
      </c>
      <c r="X34" s="10"/>
    </row>
    <row r="35" spans="1:24" ht="17" x14ac:dyDescent="0.4">
      <c r="A35" s="10"/>
      <c r="B35" s="10"/>
      <c r="C35" s="9" t="s">
        <v>46</v>
      </c>
      <c r="D35" s="9"/>
      <c r="E35" s="9"/>
      <c r="F35" s="9"/>
      <c r="G35" s="9"/>
      <c r="H35" s="9"/>
      <c r="I35" s="9"/>
      <c r="J35" s="9"/>
      <c r="K35" s="9">
        <v>0.5</v>
      </c>
      <c r="L35" s="10"/>
      <c r="M35" s="10"/>
      <c r="N35" s="10"/>
      <c r="O35" s="10"/>
      <c r="P35" s="10"/>
      <c r="Q35" s="10"/>
      <c r="R35" s="10"/>
      <c r="S35" s="10"/>
      <c r="T35" s="10"/>
      <c r="V35" t="e">
        <f t="shared" si="2"/>
        <v>#VALUE!</v>
      </c>
      <c r="W35" s="9" t="e">
        <f t="shared" si="3"/>
        <v>#VALUE!</v>
      </c>
      <c r="X35" s="10"/>
    </row>
    <row r="36" spans="1:24" ht="17.5" thickBot="1" x14ac:dyDescent="0.45">
      <c r="A36" s="9" t="s">
        <v>47</v>
      </c>
      <c r="B36" s="10"/>
      <c r="C36" s="9" t="s">
        <v>48</v>
      </c>
      <c r="D36" s="9"/>
      <c r="E36" s="9"/>
      <c r="F36" s="9"/>
      <c r="G36" s="9"/>
      <c r="H36" s="9"/>
      <c r="I36" s="9"/>
      <c r="J36" s="9"/>
      <c r="K36" s="9">
        <v>0.1</v>
      </c>
      <c r="L36" s="10"/>
      <c r="M36" s="10"/>
      <c r="N36" s="10"/>
      <c r="O36" s="10"/>
      <c r="P36" s="10"/>
      <c r="Q36" s="10"/>
      <c r="R36" s="10"/>
      <c r="S36" s="10"/>
      <c r="T36" s="10"/>
      <c r="V36" t="e">
        <f t="shared" si="2"/>
        <v>#VALUE!</v>
      </c>
      <c r="W36" s="9" t="e">
        <f t="shared" si="3"/>
        <v>#VALUE!</v>
      </c>
      <c r="X36" s="10"/>
    </row>
    <row r="37" spans="1:24" ht="18" thickTop="1" thickBot="1" x14ac:dyDescent="0.45">
      <c r="A37" s="10"/>
      <c r="B37" s="10"/>
      <c r="C37" s="40" t="s">
        <v>49</v>
      </c>
      <c r="D37" s="41"/>
      <c r="E37" s="41"/>
      <c r="F37" s="41"/>
      <c r="G37" s="41"/>
      <c r="H37" s="41"/>
      <c r="I37" s="41"/>
      <c r="J37" s="42"/>
      <c r="K37" s="9">
        <v>0.1</v>
      </c>
      <c r="L37" s="10"/>
      <c r="M37" s="10"/>
      <c r="N37" s="10"/>
      <c r="O37" s="10"/>
      <c r="P37" s="10"/>
      <c r="Q37" s="10"/>
      <c r="R37" s="10"/>
      <c r="S37" s="10"/>
      <c r="T37" s="10"/>
      <c r="V37" t="e">
        <f t="shared" si="2"/>
        <v>#VALUE!</v>
      </c>
      <c r="W37" s="9" t="e">
        <f t="shared" si="3"/>
        <v>#VALUE!</v>
      </c>
      <c r="X37" s="10"/>
    </row>
    <row r="38" spans="1:24" ht="18" thickTop="1" thickBot="1" x14ac:dyDescent="0.45">
      <c r="A38" s="10"/>
      <c r="B38" s="10"/>
      <c r="C38" s="40" t="s">
        <v>50</v>
      </c>
      <c r="D38" s="41"/>
      <c r="E38" s="41"/>
      <c r="F38" s="41"/>
      <c r="G38" s="41"/>
      <c r="H38" s="41"/>
      <c r="I38" s="41"/>
      <c r="J38" s="42"/>
      <c r="K38" s="9">
        <v>0.5</v>
      </c>
      <c r="L38" s="10"/>
      <c r="M38" s="10"/>
      <c r="N38" s="10"/>
      <c r="O38" s="10"/>
      <c r="P38" s="10"/>
      <c r="Q38" s="10"/>
      <c r="R38" s="10"/>
      <c r="S38" s="10"/>
      <c r="T38" s="10"/>
      <c r="V38" t="e">
        <f t="shared" si="2"/>
        <v>#VALUE!</v>
      </c>
      <c r="W38" s="9" t="e">
        <f t="shared" si="3"/>
        <v>#VALUE!</v>
      </c>
      <c r="X38" s="10"/>
    </row>
    <row r="39" spans="1:24" ht="18" thickTop="1" thickBot="1" x14ac:dyDescent="0.45">
      <c r="A39" s="10"/>
      <c r="B39" s="10"/>
      <c r="C39" s="40" t="s">
        <v>51</v>
      </c>
      <c r="D39" s="41"/>
      <c r="E39" s="41"/>
      <c r="F39" s="41"/>
      <c r="G39" s="41"/>
      <c r="H39" s="41"/>
      <c r="I39" s="41"/>
      <c r="J39" s="42"/>
      <c r="K39" s="9">
        <v>1</v>
      </c>
      <c r="L39" s="10"/>
      <c r="M39" s="10"/>
      <c r="N39" s="10"/>
      <c r="O39" s="10"/>
      <c r="P39" s="10"/>
      <c r="Q39" s="10"/>
      <c r="R39" s="10"/>
      <c r="S39" s="10"/>
      <c r="T39" s="10"/>
      <c r="V39" t="e">
        <f t="shared" si="2"/>
        <v>#VALUE!</v>
      </c>
      <c r="W39" s="9" t="e">
        <f t="shared" si="3"/>
        <v>#VALUE!</v>
      </c>
      <c r="X39" s="10"/>
    </row>
    <row r="40" spans="1:24" ht="18" thickTop="1" thickBot="1" x14ac:dyDescent="0.45">
      <c r="A40" s="10"/>
      <c r="B40" s="10"/>
      <c r="C40" s="40" t="s">
        <v>52</v>
      </c>
      <c r="D40" s="41"/>
      <c r="E40" s="41"/>
      <c r="F40" s="41"/>
      <c r="G40" s="41"/>
      <c r="H40" s="41"/>
      <c r="I40" s="41"/>
      <c r="J40" s="42"/>
      <c r="K40" s="9">
        <v>0.5</v>
      </c>
      <c r="L40" s="10"/>
      <c r="M40" s="10"/>
      <c r="N40" s="10"/>
      <c r="O40" s="10"/>
      <c r="P40" s="10"/>
      <c r="Q40" s="10"/>
      <c r="R40" s="10"/>
      <c r="S40" s="10"/>
      <c r="T40" s="10"/>
      <c r="V40" t="e">
        <f t="shared" si="2"/>
        <v>#VALUE!</v>
      </c>
      <c r="W40" s="9" t="e">
        <f t="shared" si="3"/>
        <v>#VALUE!</v>
      </c>
      <c r="X40" s="10"/>
    </row>
    <row r="41" spans="1:24" ht="18" thickTop="1" thickBot="1" x14ac:dyDescent="0.45">
      <c r="A41" s="10"/>
      <c r="B41" s="10"/>
      <c r="C41" s="40" t="s">
        <v>53</v>
      </c>
      <c r="D41" s="41"/>
      <c r="E41" s="41"/>
      <c r="F41" s="41"/>
      <c r="G41" s="41"/>
      <c r="H41" s="41"/>
      <c r="I41" s="41"/>
      <c r="J41" s="42"/>
      <c r="K41" s="9">
        <v>1</v>
      </c>
      <c r="L41" s="10"/>
      <c r="M41" s="10"/>
      <c r="N41" s="10"/>
      <c r="O41" s="10"/>
      <c r="P41" s="10"/>
      <c r="Q41" s="10"/>
      <c r="R41" s="10"/>
      <c r="S41" s="10"/>
      <c r="T41" s="10"/>
      <c r="V41" t="e">
        <f t="shared" si="2"/>
        <v>#VALUE!</v>
      </c>
      <c r="W41" s="9" t="e">
        <f t="shared" si="3"/>
        <v>#VALUE!</v>
      </c>
      <c r="X41" s="10"/>
    </row>
    <row r="42" spans="1:24" ht="17.5" thickTop="1" x14ac:dyDescent="0.4">
      <c r="A42" s="10"/>
      <c r="B42" s="10"/>
      <c r="C42" s="40" t="s">
        <v>54</v>
      </c>
      <c r="D42" s="41"/>
      <c r="E42" s="41"/>
      <c r="F42" s="41"/>
      <c r="G42" s="41"/>
      <c r="H42" s="41"/>
      <c r="I42" s="41"/>
      <c r="J42" s="42"/>
      <c r="K42" s="9">
        <v>0.25</v>
      </c>
      <c r="L42" s="10"/>
      <c r="M42" s="10"/>
      <c r="N42" s="10"/>
      <c r="O42" s="10"/>
      <c r="P42" s="10"/>
      <c r="Q42" s="10"/>
      <c r="R42" s="10"/>
      <c r="S42" s="10"/>
      <c r="T42" s="10"/>
      <c r="V42" t="e">
        <f t="shared" si="2"/>
        <v>#VALUE!</v>
      </c>
      <c r="W42" s="9" t="e">
        <f t="shared" si="3"/>
        <v>#VALUE!</v>
      </c>
      <c r="X42" s="10"/>
    </row>
    <row r="43" spans="1:24" ht="17" x14ac:dyDescent="0.4">
      <c r="A43" s="9" t="s">
        <v>55</v>
      </c>
      <c r="B43" s="10"/>
      <c r="C43" s="9" t="s">
        <v>56</v>
      </c>
      <c r="D43" s="9"/>
      <c r="E43" s="9"/>
      <c r="F43" s="9"/>
      <c r="G43" s="9"/>
      <c r="H43" s="9"/>
      <c r="I43" s="9"/>
      <c r="J43" s="9"/>
      <c r="K43" s="9">
        <v>1.5</v>
      </c>
      <c r="L43" s="10"/>
      <c r="M43" s="10"/>
      <c r="N43" s="10"/>
      <c r="O43" s="10"/>
      <c r="P43" s="10"/>
      <c r="Q43" s="10"/>
      <c r="R43" s="10"/>
      <c r="S43" s="10"/>
      <c r="T43" s="10"/>
      <c r="V43" t="e">
        <f t="shared" si="2"/>
        <v>#VALUE!</v>
      </c>
      <c r="W43" s="9" t="e">
        <f t="shared" si="3"/>
        <v>#VALUE!</v>
      </c>
      <c r="X43" s="10"/>
    </row>
    <row r="44" spans="1:24" ht="17" x14ac:dyDescent="0.4">
      <c r="A44" s="10"/>
      <c r="B44" s="10"/>
      <c r="C44" s="9" t="s">
        <v>57</v>
      </c>
      <c r="D44" s="9"/>
      <c r="E44" s="9"/>
      <c r="F44" s="9"/>
      <c r="G44" s="9"/>
      <c r="H44" s="9"/>
      <c r="I44" s="9"/>
      <c r="J44" s="9"/>
      <c r="K44" s="9">
        <v>0.5</v>
      </c>
      <c r="L44" s="10"/>
      <c r="M44" s="10"/>
      <c r="N44" s="10"/>
      <c r="O44" s="10"/>
      <c r="P44" s="10"/>
      <c r="Q44" s="10"/>
      <c r="R44" s="10"/>
      <c r="S44" s="10"/>
      <c r="T44" s="10"/>
      <c r="V44" t="e">
        <f t="shared" si="2"/>
        <v>#VALUE!</v>
      </c>
      <c r="W44" s="9" t="e">
        <f t="shared" si="3"/>
        <v>#VALUE!</v>
      </c>
      <c r="X44" s="10"/>
    </row>
    <row r="45" spans="1:24" ht="17" x14ac:dyDescent="0.4">
      <c r="A45" s="10"/>
      <c r="B45" s="10"/>
      <c r="C45" s="9" t="s">
        <v>58</v>
      </c>
      <c r="D45" s="9"/>
      <c r="E45" s="9"/>
      <c r="F45" s="9"/>
      <c r="G45" s="9"/>
      <c r="H45" s="9"/>
      <c r="I45" s="9"/>
      <c r="J45" s="9"/>
      <c r="K45" s="9">
        <v>1</v>
      </c>
      <c r="L45" s="10"/>
      <c r="M45" s="10"/>
      <c r="N45" s="10"/>
      <c r="O45" s="10"/>
      <c r="P45" s="10"/>
      <c r="Q45" s="10"/>
      <c r="R45" s="10"/>
      <c r="S45" s="10"/>
      <c r="T45" s="10"/>
      <c r="V45" t="e">
        <f t="shared" si="2"/>
        <v>#VALUE!</v>
      </c>
      <c r="W45" s="9" t="e">
        <f t="shared" si="3"/>
        <v>#VALUE!</v>
      </c>
      <c r="X45" s="10"/>
    </row>
    <row r="46" spans="1:24" ht="17" x14ac:dyDescent="0.4">
      <c r="A46" s="10"/>
      <c r="B46" s="10"/>
      <c r="C46" s="9" t="s">
        <v>59</v>
      </c>
      <c r="D46" s="9"/>
      <c r="E46" s="9"/>
      <c r="F46" s="9"/>
      <c r="G46" s="9"/>
      <c r="H46" s="9"/>
      <c r="I46" s="9"/>
      <c r="J46" s="9"/>
      <c r="K46" s="9">
        <v>0.8</v>
      </c>
      <c r="L46" s="10"/>
      <c r="M46" s="10"/>
      <c r="N46" s="10"/>
      <c r="O46" s="10"/>
      <c r="P46" s="10"/>
      <c r="Q46" s="10"/>
      <c r="R46" s="10"/>
      <c r="S46" s="10"/>
      <c r="T46" s="10"/>
      <c r="V46" t="e">
        <f t="shared" si="2"/>
        <v>#VALUE!</v>
      </c>
      <c r="W46" s="9" t="e">
        <f t="shared" si="3"/>
        <v>#VALUE!</v>
      </c>
      <c r="X46" s="10"/>
    </row>
    <row r="47" spans="1:24" ht="17" x14ac:dyDescent="0.4">
      <c r="A47" s="10"/>
      <c r="B47" s="10"/>
      <c r="C47" s="9" t="s">
        <v>60</v>
      </c>
      <c r="D47" s="9"/>
      <c r="E47" s="9"/>
      <c r="F47" s="9"/>
      <c r="G47" s="9"/>
      <c r="H47" s="9"/>
      <c r="I47" s="9"/>
      <c r="J47" s="9"/>
      <c r="K47" s="9">
        <v>0.2</v>
      </c>
      <c r="L47" s="10"/>
      <c r="M47" s="10"/>
      <c r="N47" s="10"/>
      <c r="O47" s="10"/>
      <c r="P47" s="10"/>
      <c r="Q47" s="10"/>
      <c r="R47" s="10"/>
      <c r="S47" s="10"/>
      <c r="T47" s="10"/>
      <c r="V47" t="e">
        <f t="shared" si="2"/>
        <v>#VALUE!</v>
      </c>
      <c r="W47" s="9" t="e">
        <f t="shared" si="3"/>
        <v>#VALUE!</v>
      </c>
      <c r="X47" s="10"/>
    </row>
    <row r="48" spans="1:24" ht="17" x14ac:dyDescent="0.4">
      <c r="A48" s="10"/>
      <c r="B48" s="10"/>
      <c r="C48" s="9" t="s">
        <v>61</v>
      </c>
      <c r="D48" s="9"/>
      <c r="E48" s="9"/>
      <c r="F48" s="9"/>
      <c r="G48" s="9"/>
      <c r="H48" s="9"/>
      <c r="I48" s="9"/>
      <c r="J48" s="9"/>
      <c r="K48" s="9">
        <v>0.75</v>
      </c>
      <c r="L48" s="10"/>
      <c r="M48" s="9" t="s">
        <v>62</v>
      </c>
      <c r="N48" s="10"/>
      <c r="O48" s="10"/>
      <c r="P48" s="10"/>
      <c r="Q48" s="10"/>
      <c r="R48" s="10"/>
      <c r="S48" s="10"/>
      <c r="T48" s="10"/>
      <c r="V48" t="e">
        <f t="shared" si="2"/>
        <v>#VALUE!</v>
      </c>
      <c r="W48" s="9" t="e">
        <f t="shared" si="3"/>
        <v>#VALUE!</v>
      </c>
      <c r="X48" s="10"/>
    </row>
    <row r="49" spans="1:24" ht="17" x14ac:dyDescent="0.4">
      <c r="A49" s="10"/>
      <c r="B49" s="10"/>
      <c r="C49" s="9" t="s">
        <v>63</v>
      </c>
      <c r="D49" s="9"/>
      <c r="E49" s="9"/>
      <c r="F49" s="9"/>
      <c r="G49" s="9"/>
      <c r="H49" s="9"/>
      <c r="I49" s="9"/>
      <c r="J49" s="9"/>
      <c r="K49" s="9">
        <v>0.75</v>
      </c>
      <c r="L49" s="10"/>
      <c r="M49" s="9" t="s">
        <v>64</v>
      </c>
      <c r="N49" s="10"/>
      <c r="O49" s="10"/>
      <c r="P49" s="10"/>
      <c r="Q49" s="10"/>
      <c r="R49" s="10"/>
      <c r="S49" s="10"/>
      <c r="T49" s="10"/>
      <c r="V49" t="e">
        <f t="shared" si="2"/>
        <v>#VALUE!</v>
      </c>
      <c r="W49" s="9" t="e">
        <f t="shared" si="3"/>
        <v>#VALUE!</v>
      </c>
      <c r="X49" s="10"/>
    </row>
    <row r="50" spans="1:24" ht="17" x14ac:dyDescent="0.4">
      <c r="A50" s="10"/>
      <c r="B50" s="10"/>
      <c r="C50" s="9" t="s">
        <v>65</v>
      </c>
      <c r="D50" s="9"/>
      <c r="E50" s="9"/>
      <c r="F50" s="9"/>
      <c r="G50" s="9"/>
      <c r="H50" s="9"/>
      <c r="I50" s="9"/>
      <c r="J50" s="9"/>
      <c r="K50" s="9">
        <v>0.5</v>
      </c>
      <c r="L50" s="10"/>
      <c r="M50" s="9" t="s">
        <v>66</v>
      </c>
      <c r="N50" s="10"/>
      <c r="O50" s="10"/>
      <c r="P50" s="10"/>
      <c r="Q50" s="10"/>
      <c r="R50" s="10"/>
      <c r="S50" s="10"/>
      <c r="T50" s="10"/>
      <c r="V50" t="e">
        <f t="shared" si="2"/>
        <v>#VALUE!</v>
      </c>
      <c r="W50" s="9" t="e">
        <f t="shared" si="3"/>
        <v>#VALUE!</v>
      </c>
      <c r="X50" s="10"/>
    </row>
    <row r="51" spans="1:24" ht="17" x14ac:dyDescent="0.4">
      <c r="A51" s="10"/>
      <c r="B51" s="10"/>
      <c r="C51" s="9" t="s">
        <v>67</v>
      </c>
      <c r="D51" s="9"/>
      <c r="E51" s="9"/>
      <c r="F51" s="9"/>
      <c r="G51" s="9"/>
      <c r="H51" s="9"/>
      <c r="I51" s="9"/>
      <c r="J51" s="9"/>
      <c r="K51" s="9">
        <v>0.5</v>
      </c>
      <c r="L51" s="10"/>
      <c r="M51" s="10"/>
      <c r="N51" s="10"/>
      <c r="O51" s="10"/>
      <c r="P51" s="10"/>
      <c r="Q51" s="10"/>
      <c r="R51" s="10"/>
      <c r="S51" s="10"/>
      <c r="T51" s="10"/>
      <c r="V51" t="e">
        <f t="shared" si="2"/>
        <v>#VALUE!</v>
      </c>
      <c r="W51" s="9" t="e">
        <f t="shared" si="3"/>
        <v>#VALUE!</v>
      </c>
      <c r="X51" s="10"/>
    </row>
    <row r="52" spans="1:24" ht="17" x14ac:dyDescent="0.4">
      <c r="A52" s="10"/>
      <c r="B52" s="10"/>
      <c r="C52" s="9" t="s">
        <v>68</v>
      </c>
      <c r="D52" s="9"/>
      <c r="E52" s="9"/>
      <c r="F52" s="9"/>
      <c r="G52" s="9"/>
      <c r="H52" s="9"/>
      <c r="I52" s="9"/>
      <c r="J52" s="9"/>
      <c r="K52" s="9">
        <v>1</v>
      </c>
      <c r="L52" s="10"/>
      <c r="M52" s="9" t="s">
        <v>69</v>
      </c>
      <c r="N52" s="10"/>
      <c r="O52" s="10"/>
      <c r="P52" s="10"/>
      <c r="Q52" s="10"/>
      <c r="R52" s="10"/>
      <c r="S52" s="10"/>
      <c r="T52" s="10"/>
      <c r="V52" t="e">
        <f t="shared" si="2"/>
        <v>#VALUE!</v>
      </c>
      <c r="W52" s="9" t="e">
        <f t="shared" si="3"/>
        <v>#VALUE!</v>
      </c>
      <c r="X52" s="10"/>
    </row>
    <row r="53" spans="1:24" ht="17" x14ac:dyDescent="0.4">
      <c r="A53" s="10"/>
      <c r="B53" s="10"/>
      <c r="C53" s="9" t="s">
        <v>70</v>
      </c>
      <c r="D53" s="9"/>
      <c r="E53" s="9"/>
      <c r="F53" s="9"/>
      <c r="G53" s="9"/>
      <c r="H53" s="9"/>
      <c r="I53" s="9"/>
      <c r="J53" s="9"/>
      <c r="K53" s="9">
        <v>0.5</v>
      </c>
      <c r="L53" s="10"/>
      <c r="M53" s="9" t="s">
        <v>71</v>
      </c>
      <c r="N53" s="10"/>
      <c r="O53" s="10"/>
      <c r="P53" s="10"/>
      <c r="Q53" s="10"/>
      <c r="R53" s="10"/>
      <c r="S53" s="10"/>
      <c r="T53" s="10"/>
      <c r="V53" t="e">
        <f t="shared" si="2"/>
        <v>#VALUE!</v>
      </c>
      <c r="W53" s="9" t="e">
        <f t="shared" si="3"/>
        <v>#VALUE!</v>
      </c>
      <c r="X53" s="10"/>
    </row>
    <row r="54" spans="1:24" ht="17" x14ac:dyDescent="0.4">
      <c r="A54" s="9" t="s">
        <v>72</v>
      </c>
      <c r="B54" s="10"/>
      <c r="C54" s="9" t="s">
        <v>73</v>
      </c>
      <c r="D54" s="9"/>
      <c r="E54" s="9"/>
      <c r="F54" s="9"/>
      <c r="G54" s="9"/>
      <c r="H54" s="9"/>
      <c r="I54" s="9"/>
      <c r="J54" s="9"/>
      <c r="K54" s="10"/>
      <c r="L54" s="10"/>
      <c r="M54" s="10"/>
      <c r="N54" s="10"/>
      <c r="O54" s="10"/>
      <c r="P54" s="10"/>
      <c r="Q54" s="10"/>
      <c r="R54" s="10"/>
      <c r="S54" s="10"/>
      <c r="T54" s="10"/>
      <c r="W54" s="10"/>
      <c r="X54" s="10"/>
    </row>
    <row r="55" spans="1:24" ht="17" x14ac:dyDescent="0.4">
      <c r="A55" s="10"/>
      <c r="B55" s="10"/>
      <c r="C55" s="9" t="s">
        <v>74</v>
      </c>
      <c r="D55" s="9"/>
      <c r="E55" s="9"/>
      <c r="F55" s="9"/>
      <c r="G55" s="9"/>
      <c r="H55" s="9"/>
      <c r="I55" s="9"/>
      <c r="J55" s="9"/>
      <c r="K55" s="10"/>
      <c r="L55" s="10"/>
      <c r="M55" s="10"/>
      <c r="N55" s="10"/>
      <c r="O55" s="10"/>
      <c r="P55" s="10"/>
      <c r="Q55" s="10"/>
      <c r="R55" s="10"/>
      <c r="S55" s="10"/>
      <c r="T55" s="10"/>
      <c r="W55" s="10"/>
      <c r="X55" s="10"/>
    </row>
    <row r="56" spans="1:24" ht="17" x14ac:dyDescent="0.4">
      <c r="A56" s="10"/>
      <c r="B56" s="10"/>
      <c r="C56" s="9" t="s">
        <v>75</v>
      </c>
      <c r="D56" s="9"/>
      <c r="E56" s="9"/>
      <c r="F56" s="9"/>
      <c r="G56" s="9"/>
      <c r="H56" s="9"/>
      <c r="I56" s="9"/>
      <c r="J56" s="9"/>
      <c r="K56" s="10"/>
      <c r="L56" s="10"/>
      <c r="M56" s="10"/>
      <c r="N56" s="10"/>
      <c r="O56" s="10"/>
      <c r="P56" s="10"/>
      <c r="Q56" s="10"/>
      <c r="R56" s="10"/>
      <c r="S56" s="10"/>
      <c r="T56" s="10"/>
      <c r="W56" s="10"/>
      <c r="X56" s="10"/>
    </row>
    <row r="57" spans="1:24" ht="17" x14ac:dyDescent="0.4">
      <c r="W57" s="9" t="e">
        <f>SUM(W4:X56)</f>
        <v>#VALUE!</v>
      </c>
      <c r="X57" s="10"/>
    </row>
  </sheetData>
  <mergeCells count="235">
    <mergeCell ref="C26:J26"/>
    <mergeCell ref="C23:J23"/>
    <mergeCell ref="A23:B24"/>
    <mergeCell ref="K23:L23"/>
    <mergeCell ref="K26:L26"/>
    <mergeCell ref="M23:T23"/>
    <mergeCell ref="M26:T26"/>
    <mergeCell ref="C54:J54"/>
    <mergeCell ref="K4:L4"/>
    <mergeCell ref="A43:B53"/>
    <mergeCell ref="V1:X1"/>
    <mergeCell ref="C46:J46"/>
    <mergeCell ref="K56:L56"/>
    <mergeCell ref="C16:J16"/>
    <mergeCell ref="U3:V3"/>
    <mergeCell ref="C48:J48"/>
    <mergeCell ref="M16:T16"/>
    <mergeCell ref="W56:X56"/>
    <mergeCell ref="W43:X43"/>
    <mergeCell ref="K36:L36"/>
    <mergeCell ref="K10:L10"/>
    <mergeCell ref="C18:J18"/>
    <mergeCell ref="W49:X49"/>
    <mergeCell ref="W7:X7"/>
    <mergeCell ref="M21:T21"/>
    <mergeCell ref="M38:T38"/>
    <mergeCell ref="K45:L45"/>
    <mergeCell ref="W36:X36"/>
    <mergeCell ref="W45:X45"/>
    <mergeCell ref="M19:T19"/>
    <mergeCell ref="K35:L35"/>
    <mergeCell ref="M35:T35"/>
    <mergeCell ref="W25:X25"/>
    <mergeCell ref="A54:B56"/>
    <mergeCell ref="C13:J13"/>
    <mergeCell ref="A25:B28"/>
    <mergeCell ref="K54:L54"/>
    <mergeCell ref="A29:B35"/>
    <mergeCell ref="C14:J14"/>
    <mergeCell ref="C50:J50"/>
    <mergeCell ref="M47:T47"/>
    <mergeCell ref="C31:J31"/>
    <mergeCell ref="K31:L31"/>
    <mergeCell ref="M31:T31"/>
    <mergeCell ref="C55:J55"/>
    <mergeCell ref="M46:T46"/>
    <mergeCell ref="K33:L33"/>
    <mergeCell ref="C42:J42"/>
    <mergeCell ref="M45:T45"/>
    <mergeCell ref="K15:L15"/>
    <mergeCell ref="C25:J25"/>
    <mergeCell ref="C44:J44"/>
    <mergeCell ref="A6:B14"/>
    <mergeCell ref="C41:J41"/>
    <mergeCell ref="A3:B3"/>
    <mergeCell ref="W28:X28"/>
    <mergeCell ref="M9:T9"/>
    <mergeCell ref="C53:J53"/>
    <mergeCell ref="M12:T12"/>
    <mergeCell ref="C40:J40"/>
    <mergeCell ref="W16:X16"/>
    <mergeCell ref="C22:J22"/>
    <mergeCell ref="M22:T22"/>
    <mergeCell ref="K18:L18"/>
    <mergeCell ref="W9:X9"/>
    <mergeCell ref="M33:T33"/>
    <mergeCell ref="M42:T42"/>
    <mergeCell ref="C3:J3"/>
    <mergeCell ref="W46:X46"/>
    <mergeCell ref="W30:X30"/>
    <mergeCell ref="M5:T5"/>
    <mergeCell ref="C5:J5"/>
    <mergeCell ref="P1:R2"/>
    <mergeCell ref="M48:T48"/>
    <mergeCell ref="K44:L44"/>
    <mergeCell ref="C51:J51"/>
    <mergeCell ref="K41:L41"/>
    <mergeCell ref="W44:X44"/>
    <mergeCell ref="K28:L28"/>
    <mergeCell ref="C38:J38"/>
    <mergeCell ref="K43:L43"/>
    <mergeCell ref="K37:L37"/>
    <mergeCell ref="W17:X17"/>
    <mergeCell ref="V2:X2"/>
    <mergeCell ref="G1:I2"/>
    <mergeCell ref="W32:X32"/>
    <mergeCell ref="A1:F2"/>
    <mergeCell ref="C17:J17"/>
    <mergeCell ref="K17:L17"/>
    <mergeCell ref="C28:J28"/>
    <mergeCell ref="C37:J37"/>
    <mergeCell ref="M37:T37"/>
    <mergeCell ref="W18:X18"/>
    <mergeCell ref="W35:X35"/>
    <mergeCell ref="W57:X57"/>
    <mergeCell ref="K14:L14"/>
    <mergeCell ref="C24:J24"/>
    <mergeCell ref="M29:T29"/>
    <mergeCell ref="M14:T14"/>
    <mergeCell ref="C34:J34"/>
    <mergeCell ref="K6:L6"/>
    <mergeCell ref="W14:X14"/>
    <mergeCell ref="W41:X41"/>
    <mergeCell ref="K12:L12"/>
    <mergeCell ref="W50:X50"/>
    <mergeCell ref="K20:L20"/>
    <mergeCell ref="C27:J27"/>
    <mergeCell ref="W31:X31"/>
    <mergeCell ref="C6:J6"/>
    <mergeCell ref="W20:X20"/>
    <mergeCell ref="K7:L7"/>
    <mergeCell ref="M41:T41"/>
    <mergeCell ref="M56:T56"/>
    <mergeCell ref="C10:J10"/>
    <mergeCell ref="K42:L42"/>
    <mergeCell ref="K51:L51"/>
    <mergeCell ref="W33:X33"/>
    <mergeCell ref="W55:X55"/>
    <mergeCell ref="K13:L13"/>
    <mergeCell ref="M3:T3"/>
    <mergeCell ref="M13:T13"/>
    <mergeCell ref="W13:X13"/>
    <mergeCell ref="W8:X8"/>
    <mergeCell ref="M44:T44"/>
    <mergeCell ref="K3:L3"/>
    <mergeCell ref="K5:L5"/>
    <mergeCell ref="W5:X5"/>
    <mergeCell ref="W27:X27"/>
    <mergeCell ref="W42:X42"/>
    <mergeCell ref="K25:L25"/>
    <mergeCell ref="K8:L8"/>
    <mergeCell ref="W15:X15"/>
    <mergeCell ref="W54:X54"/>
    <mergeCell ref="W53:X53"/>
    <mergeCell ref="M27:T27"/>
    <mergeCell ref="K22:L22"/>
    <mergeCell ref="C33:J33"/>
    <mergeCell ref="M43:T43"/>
    <mergeCell ref="M30:T30"/>
    <mergeCell ref="M39:T39"/>
    <mergeCell ref="W22:X22"/>
    <mergeCell ref="A4:B5"/>
    <mergeCell ref="K48:L48"/>
    <mergeCell ref="W52:X52"/>
    <mergeCell ref="J1:L2"/>
    <mergeCell ref="M32:T32"/>
    <mergeCell ref="K29:L29"/>
    <mergeCell ref="W48:X48"/>
    <mergeCell ref="C12:J12"/>
    <mergeCell ref="K38:L38"/>
    <mergeCell ref="C47:J47"/>
    <mergeCell ref="M51:T51"/>
    <mergeCell ref="W51:X51"/>
    <mergeCell ref="W29:X29"/>
    <mergeCell ref="A36:B42"/>
    <mergeCell ref="C52:J52"/>
    <mergeCell ref="W38:X38"/>
    <mergeCell ref="C7:J7"/>
    <mergeCell ref="M20:T20"/>
    <mergeCell ref="M1:O2"/>
    <mergeCell ref="W12:X12"/>
    <mergeCell ref="K40:L40"/>
    <mergeCell ref="S2:U2"/>
    <mergeCell ref="A15:B22"/>
    <mergeCell ref="C8:J8"/>
    <mergeCell ref="M11:T11"/>
    <mergeCell ref="C43:J43"/>
    <mergeCell ref="M24:T24"/>
    <mergeCell ref="K39:L39"/>
    <mergeCell ref="M34:T34"/>
    <mergeCell ref="C49:J49"/>
    <mergeCell ref="W39:X39"/>
    <mergeCell ref="C36:J36"/>
    <mergeCell ref="C45:J45"/>
    <mergeCell ref="C29:J29"/>
    <mergeCell ref="C35:J35"/>
    <mergeCell ref="M10:T10"/>
    <mergeCell ref="K24:L24"/>
    <mergeCell ref="M25:T25"/>
    <mergeCell ref="M18:T18"/>
    <mergeCell ref="K34:L34"/>
    <mergeCell ref="W10:X10"/>
    <mergeCell ref="C9:J9"/>
    <mergeCell ref="W24:X24"/>
    <mergeCell ref="K9:L9"/>
    <mergeCell ref="W34:X34"/>
    <mergeCell ref="W3:X3"/>
    <mergeCell ref="M17:T17"/>
    <mergeCell ref="K55:L55"/>
    <mergeCell ref="M28:T28"/>
    <mergeCell ref="K49:L49"/>
    <mergeCell ref="S1:U1"/>
    <mergeCell ref="W40:X40"/>
    <mergeCell ref="C56:J56"/>
    <mergeCell ref="M6:T6"/>
    <mergeCell ref="K50:L50"/>
    <mergeCell ref="M54:T54"/>
    <mergeCell ref="M4:T4"/>
    <mergeCell ref="M53:T53"/>
    <mergeCell ref="K27:L27"/>
    <mergeCell ref="M40:T40"/>
    <mergeCell ref="M55:T55"/>
    <mergeCell ref="C11:J11"/>
    <mergeCell ref="K11:L11"/>
    <mergeCell ref="C19:J19"/>
    <mergeCell ref="W6:X6"/>
    <mergeCell ref="K52:L52"/>
    <mergeCell ref="K16:L16"/>
    <mergeCell ref="C21:J21"/>
    <mergeCell ref="K53:L53"/>
    <mergeCell ref="M52:T52"/>
    <mergeCell ref="M49:T49"/>
    <mergeCell ref="M7:T7"/>
    <mergeCell ref="K21:L21"/>
    <mergeCell ref="C32:J32"/>
    <mergeCell ref="M36:T36"/>
    <mergeCell ref="K32:L32"/>
    <mergeCell ref="W21:X21"/>
    <mergeCell ref="M15:T15"/>
    <mergeCell ref="C15:J15"/>
    <mergeCell ref="C20:J20"/>
    <mergeCell ref="K47:L47"/>
    <mergeCell ref="M8:T8"/>
    <mergeCell ref="W47:X47"/>
    <mergeCell ref="M50:T50"/>
    <mergeCell ref="W4:X4"/>
    <mergeCell ref="K46:L46"/>
    <mergeCell ref="W37:X37"/>
    <mergeCell ref="K19:L19"/>
    <mergeCell ref="C30:J30"/>
    <mergeCell ref="K30:L30"/>
    <mergeCell ref="W11:X11"/>
    <mergeCell ref="C39:J39"/>
    <mergeCell ref="W19:X19"/>
    <mergeCell ref="C4:J4"/>
  </mergeCells>
  <phoneticPr fontId="1" type="noConversion"/>
  <dataValidations count="2">
    <dataValidation type="list" allowBlank="1" showInputMessage="1" showErrorMessage="1" sqref="U15:U16">
      <formula1>"A,B,C,D,E"</formula1>
    </dataValidation>
    <dataValidation type="list" allowBlank="1" showInputMessage="1" showErrorMessage="1" sqref="U4:U14">
      <formula1>"-,A,B,C,D,E"</formula1>
    </dataValidation>
  </dataValidations>
  <pageMargins left="0.23622047244094491" right="0.15748031496062989" top="0.27559055118110237" bottom="0.2" header="0.19685039370078741" footer="0.11811023622047249"/>
  <pageSetup paperSize="9" scale="7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A10" sqref="A10"/>
    </sheetView>
  </sheetViews>
  <sheetFormatPr defaultRowHeight="17" x14ac:dyDescent="0.4"/>
  <sheetData>
    <row r="1" spans="1:7" x14ac:dyDescent="0.4">
      <c r="A1" s="3">
        <v>3</v>
      </c>
      <c r="B1" s="3">
        <f>A1*5</f>
        <v>15</v>
      </c>
    </row>
    <row r="2" spans="1:7" x14ac:dyDescent="0.4">
      <c r="A2" s="3">
        <v>3</v>
      </c>
      <c r="B2" s="3">
        <f>A2*5</f>
        <v>15</v>
      </c>
    </row>
    <row r="3" spans="1:7" x14ac:dyDescent="0.4">
      <c r="A3" s="3">
        <v>2</v>
      </c>
      <c r="B3" s="3">
        <f>A3*5</f>
        <v>10</v>
      </c>
    </row>
    <row r="4" spans="1:7" x14ac:dyDescent="0.4">
      <c r="A4" s="3">
        <v>2</v>
      </c>
      <c r="B4" s="3">
        <f>A4*5</f>
        <v>10</v>
      </c>
    </row>
    <row r="5" spans="1:7" x14ac:dyDescent="0.4">
      <c r="A5" s="3"/>
      <c r="B5" s="3">
        <f>SUM(B1:B4)</f>
        <v>50</v>
      </c>
    </row>
    <row r="6" spans="1:7" x14ac:dyDescent="0.4">
      <c r="C6" t="s">
        <v>76</v>
      </c>
      <c r="D6" t="s">
        <v>77</v>
      </c>
      <c r="E6" t="s">
        <v>78</v>
      </c>
      <c r="F6" t="s">
        <v>79</v>
      </c>
      <c r="G6" t="s">
        <v>80</v>
      </c>
    </row>
    <row r="7" spans="1:7" x14ac:dyDescent="0.4">
      <c r="A7" s="2">
        <v>2</v>
      </c>
      <c r="B7" s="5">
        <f t="shared" ref="B7:B15" si="0">A7*5</f>
        <v>10</v>
      </c>
      <c r="C7">
        <f t="shared" ref="C7:C15" si="1">B7*1</f>
        <v>10</v>
      </c>
      <c r="D7">
        <f t="shared" ref="D7:D15" si="2">B7*0.9</f>
        <v>9</v>
      </c>
      <c r="E7">
        <f t="shared" ref="E7:E15" si="3">B7*0.8</f>
        <v>8</v>
      </c>
      <c r="F7">
        <f t="shared" ref="F7:F15" si="4">B7*0.7</f>
        <v>7</v>
      </c>
      <c r="G7">
        <f t="shared" ref="G7:G15" si="5">B7*0.6</f>
        <v>6</v>
      </c>
    </row>
    <row r="8" spans="1:7" x14ac:dyDescent="0.4">
      <c r="A8" s="2">
        <v>1</v>
      </c>
      <c r="B8" s="5">
        <f t="shared" si="0"/>
        <v>5</v>
      </c>
      <c r="C8">
        <f t="shared" si="1"/>
        <v>5</v>
      </c>
      <c r="D8">
        <f t="shared" si="2"/>
        <v>4.5</v>
      </c>
      <c r="E8">
        <f t="shared" si="3"/>
        <v>4</v>
      </c>
      <c r="F8">
        <f t="shared" si="4"/>
        <v>3.5</v>
      </c>
      <c r="G8">
        <f t="shared" si="5"/>
        <v>3</v>
      </c>
    </row>
    <row r="9" spans="1:7" x14ac:dyDescent="0.4">
      <c r="A9" s="4">
        <v>1</v>
      </c>
      <c r="B9" s="5">
        <f t="shared" si="0"/>
        <v>5</v>
      </c>
      <c r="C9">
        <f t="shared" si="1"/>
        <v>5</v>
      </c>
      <c r="D9">
        <f t="shared" si="2"/>
        <v>4.5</v>
      </c>
      <c r="E9">
        <f t="shared" si="3"/>
        <v>4</v>
      </c>
      <c r="F9">
        <f t="shared" si="4"/>
        <v>3.5</v>
      </c>
      <c r="G9">
        <f t="shared" si="5"/>
        <v>3</v>
      </c>
    </row>
    <row r="10" spans="1:7" x14ac:dyDescent="0.4">
      <c r="A10" s="2">
        <v>0.5</v>
      </c>
      <c r="B10" s="5">
        <f t="shared" si="0"/>
        <v>2.5</v>
      </c>
      <c r="C10">
        <f t="shared" si="1"/>
        <v>2.5</v>
      </c>
      <c r="D10">
        <f t="shared" si="2"/>
        <v>2.25</v>
      </c>
      <c r="E10">
        <f t="shared" si="3"/>
        <v>2</v>
      </c>
      <c r="F10">
        <f t="shared" si="4"/>
        <v>1.75</v>
      </c>
      <c r="G10">
        <f t="shared" si="5"/>
        <v>1.5</v>
      </c>
    </row>
    <row r="11" spans="1:7" x14ac:dyDescent="0.4">
      <c r="A11" s="2">
        <v>0.5</v>
      </c>
      <c r="B11" s="5">
        <f t="shared" si="0"/>
        <v>2.5</v>
      </c>
      <c r="C11">
        <f t="shared" si="1"/>
        <v>2.5</v>
      </c>
      <c r="D11">
        <f t="shared" si="2"/>
        <v>2.25</v>
      </c>
      <c r="E11">
        <f t="shared" si="3"/>
        <v>2</v>
      </c>
      <c r="F11">
        <f t="shared" si="4"/>
        <v>1.75</v>
      </c>
      <c r="G11">
        <f t="shared" si="5"/>
        <v>1.5</v>
      </c>
    </row>
    <row r="12" spans="1:7" x14ac:dyDescent="0.4">
      <c r="A12" s="2">
        <v>0.5</v>
      </c>
      <c r="B12" s="5">
        <f t="shared" si="0"/>
        <v>2.5</v>
      </c>
      <c r="C12">
        <f t="shared" si="1"/>
        <v>2.5</v>
      </c>
      <c r="D12">
        <f t="shared" si="2"/>
        <v>2.25</v>
      </c>
      <c r="E12">
        <f t="shared" si="3"/>
        <v>2</v>
      </c>
      <c r="F12">
        <f t="shared" si="4"/>
        <v>1.75</v>
      </c>
      <c r="G12">
        <f t="shared" si="5"/>
        <v>1.5</v>
      </c>
    </row>
    <row r="13" spans="1:7" x14ac:dyDescent="0.4">
      <c r="A13" s="2">
        <v>0.5</v>
      </c>
      <c r="B13" s="5">
        <f t="shared" si="0"/>
        <v>2.5</v>
      </c>
      <c r="C13">
        <f t="shared" si="1"/>
        <v>2.5</v>
      </c>
      <c r="D13">
        <f t="shared" si="2"/>
        <v>2.25</v>
      </c>
      <c r="E13">
        <f t="shared" si="3"/>
        <v>2</v>
      </c>
      <c r="F13">
        <f t="shared" si="4"/>
        <v>1.75</v>
      </c>
      <c r="G13">
        <f t="shared" si="5"/>
        <v>1.5</v>
      </c>
    </row>
    <row r="14" spans="1:7" x14ac:dyDescent="0.4">
      <c r="A14" s="2">
        <v>2.5</v>
      </c>
      <c r="B14" s="5">
        <f t="shared" si="0"/>
        <v>12.5</v>
      </c>
      <c r="C14">
        <f t="shared" si="1"/>
        <v>12.5</v>
      </c>
      <c r="D14">
        <f t="shared" si="2"/>
        <v>11.25</v>
      </c>
      <c r="E14">
        <f t="shared" si="3"/>
        <v>10</v>
      </c>
      <c r="F14">
        <f t="shared" si="4"/>
        <v>8.75</v>
      </c>
      <c r="G14">
        <f t="shared" si="5"/>
        <v>7.5</v>
      </c>
    </row>
    <row r="15" spans="1:7" x14ac:dyDescent="0.4">
      <c r="A15" s="2">
        <v>1.5</v>
      </c>
      <c r="B15" s="5">
        <f t="shared" si="0"/>
        <v>7.5</v>
      </c>
      <c r="C15">
        <f t="shared" si="1"/>
        <v>7.5</v>
      </c>
      <c r="D15">
        <f t="shared" si="2"/>
        <v>6.75</v>
      </c>
      <c r="E15">
        <f t="shared" si="3"/>
        <v>6</v>
      </c>
      <c r="F15">
        <f t="shared" si="4"/>
        <v>5.25</v>
      </c>
      <c r="G15">
        <f t="shared" si="5"/>
        <v>4.5</v>
      </c>
    </row>
    <row r="16" spans="1:7" x14ac:dyDescent="0.4">
      <c r="B16" s="5">
        <f t="shared" ref="B16:G16" si="6">SUM(B7:B15)</f>
        <v>50</v>
      </c>
      <c r="C16">
        <f t="shared" si="6"/>
        <v>50</v>
      </c>
      <c r="D16">
        <f t="shared" si="6"/>
        <v>45</v>
      </c>
      <c r="E16">
        <f t="shared" si="6"/>
        <v>40</v>
      </c>
      <c r="F16">
        <f t="shared" si="6"/>
        <v>35</v>
      </c>
      <c r="G16">
        <f t="shared" si="6"/>
        <v>30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"/>
  <sheetViews>
    <sheetView workbookViewId="0">
      <selection activeCell="J3" sqref="J3:O3"/>
    </sheetView>
  </sheetViews>
  <sheetFormatPr defaultColWidth="8.7265625" defaultRowHeight="14.5" x14ac:dyDescent="0.4"/>
  <cols>
    <col min="1" max="19" width="5.6328125" style="4" customWidth="1"/>
    <col min="20" max="20" width="8.7265625" style="4" customWidth="1"/>
    <col min="21" max="16384" width="8.7265625" style="4"/>
  </cols>
  <sheetData>
    <row r="1" spans="1:17" x14ac:dyDescent="0.4">
      <c r="A1" s="36" t="s">
        <v>0</v>
      </c>
      <c r="B1" s="14"/>
      <c r="C1" s="14"/>
      <c r="D1" s="14"/>
      <c r="E1" s="38" t="s">
        <v>81</v>
      </c>
      <c r="F1" s="14"/>
      <c r="G1" s="36" t="s">
        <v>2</v>
      </c>
      <c r="H1" s="14"/>
      <c r="I1" s="14"/>
      <c r="J1" s="36" t="s">
        <v>82</v>
      </c>
      <c r="K1" s="14"/>
      <c r="L1" s="36" t="s">
        <v>83</v>
      </c>
      <c r="M1" s="14"/>
      <c r="N1" s="36" t="s">
        <v>5</v>
      </c>
      <c r="O1" s="14"/>
      <c r="P1" s="39">
        <v>43536</v>
      </c>
      <c r="Q1" s="14"/>
    </row>
    <row r="2" spans="1:17" x14ac:dyDescent="0.4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36" t="s">
        <v>84</v>
      </c>
      <c r="O2" s="14"/>
      <c r="P2" s="39">
        <v>43536</v>
      </c>
      <c r="Q2" s="14"/>
    </row>
    <row r="3" spans="1:17" x14ac:dyDescent="0.4">
      <c r="A3" s="37" t="s">
        <v>7</v>
      </c>
      <c r="B3" s="14"/>
      <c r="C3" s="36" t="s">
        <v>8</v>
      </c>
      <c r="D3" s="14"/>
      <c r="E3" s="14"/>
      <c r="F3" s="14"/>
      <c r="G3" s="14"/>
      <c r="H3" s="14"/>
      <c r="J3" s="36" t="s">
        <v>8</v>
      </c>
      <c r="K3" s="14"/>
      <c r="L3" s="14"/>
      <c r="M3" s="14"/>
      <c r="N3" s="14"/>
      <c r="O3" s="14"/>
    </row>
  </sheetData>
  <mergeCells count="12">
    <mergeCell ref="P2:Q2"/>
    <mergeCell ref="P1:Q1"/>
    <mergeCell ref="L1:M2"/>
    <mergeCell ref="J1:K2"/>
    <mergeCell ref="C3:H3"/>
    <mergeCell ref="N1:O1"/>
    <mergeCell ref="J3:O3"/>
    <mergeCell ref="G1:I2"/>
    <mergeCell ref="A3:B3"/>
    <mergeCell ref="A1:D2"/>
    <mergeCell ref="N2:O2"/>
    <mergeCell ref="E1:F2"/>
  </mergeCells>
  <phoneticPr fontId="1" type="noConversion"/>
  <pageMargins left="0.25" right="0.25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單位目標績效表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garfield</dc:creator>
  <cp:lastModifiedBy>陳俊良(iso-accound)</cp:lastModifiedBy>
  <cp:lastPrinted>2025-03-25T02:51:38Z</cp:lastPrinted>
  <dcterms:created xsi:type="dcterms:W3CDTF">2019-05-10T00:45:37Z</dcterms:created>
  <dcterms:modified xsi:type="dcterms:W3CDTF">2026-05-04T06:02:27Z</dcterms:modified>
</cp:coreProperties>
</file>