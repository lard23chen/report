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AI\MongoDB\"/>
    </mc:Choice>
  </mc:AlternateContent>
  <bookViews>
    <workbookView xWindow="0" yWindow="0" windowWidth="28800" windowHeight="12270" activeTab="1"/>
  </bookViews>
  <sheets>
    <sheet name="工作表1" sheetId="1" r:id="rId1"/>
    <sheet name="差異分析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<sst xmlns="http://schemas.openxmlformats.org/spreadsheetml/2006/main" count="217" uniqueCount="164">
  <si>
    <t>股票</t>
  </si>
  <si>
    <t>投資型保單基金</t>
  </si>
  <si>
    <t>福儲</t>
  </si>
  <si>
    <t>台灣人壽吉順利(2021可領)</t>
  </si>
  <si>
    <t>中國人壽年年旺(2022可領)</t>
  </si>
  <si>
    <t>中國人壽鑫增利(2023可領)</t>
  </si>
  <si>
    <t>中信活儲</t>
  </si>
  <si>
    <t>國泰活儲</t>
  </si>
  <si>
    <t>國泰添美利美元(可領)</t>
  </si>
  <si>
    <t>中信外幣(美金)</t>
  </si>
  <si>
    <t>中信外幣(日幣)</t>
  </si>
  <si>
    <t>玉山活儲</t>
    <phoneticPr fontId="4" type="noConversion"/>
  </si>
  <si>
    <t>玉山活儲(外幣)</t>
    <phoneticPr fontId="4" type="noConversion"/>
  </si>
  <si>
    <t>富邦活儲</t>
  </si>
  <si>
    <t>凱基活儲</t>
  </si>
  <si>
    <t>凱基活儲(外幣)</t>
    <phoneticPr fontId="4" type="noConversion"/>
  </si>
  <si>
    <t>Richart GOGO</t>
  </si>
  <si>
    <t>Richart 外幣</t>
    <phoneticPr fontId="4" type="noConversion"/>
  </si>
  <si>
    <t>將來銀行</t>
    <phoneticPr fontId="4" type="noConversion"/>
  </si>
  <si>
    <t>台灣企銀</t>
  </si>
  <si>
    <t>兆豐活儲</t>
  </si>
  <si>
    <t>新光活儲</t>
  </si>
  <si>
    <t>聯邦活儲</t>
  </si>
  <si>
    <t>大戶活儲</t>
  </si>
  <si>
    <t>大戶日本基金</t>
    <phoneticPr fontId="4" type="noConversion"/>
  </si>
  <si>
    <t>大戶外幣(日幣)</t>
    <phoneticPr fontId="4" type="noConversion"/>
  </si>
  <si>
    <t>大戶外幣(美金)</t>
  </si>
  <si>
    <t>施羅德六年期(2025可領)</t>
  </si>
  <si>
    <t>中國人壽三得利
(3年繳) (2022到期)</t>
  </si>
  <si>
    <t>南山人壽(2019到期)</t>
  </si>
  <si>
    <t>富邦(2021到期)</t>
  </si>
  <si>
    <t>mark借(2022到期)</t>
  </si>
  <si>
    <t>新光人壽(可領,每年2萬配)</t>
  </si>
  <si>
    <t>國泰雙好還本終身
(2023到期)</t>
  </si>
  <si>
    <t>添鑫終身壽險(2028到期)</t>
  </si>
  <si>
    <t>富利年年終身保險
(2028到期)</t>
  </si>
  <si>
    <t>超商禮券</t>
    <phoneticPr fontId="4" type="noConversion"/>
  </si>
  <si>
    <t>全聯</t>
  </si>
  <si>
    <t>MOSS</t>
  </si>
  <si>
    <t>MOMO</t>
  </si>
  <si>
    <t>starbucks</t>
  </si>
  <si>
    <t>家樂福</t>
  </si>
  <si>
    <t>PI</t>
  </si>
  <si>
    <t>街口</t>
  </si>
  <si>
    <t>line bank</t>
    <phoneticPr fontId="4" type="noConversion"/>
  </si>
  <si>
    <t xml:space="preserve">ipasss money </t>
    <phoneticPr fontId="4" type="noConversion"/>
  </si>
  <si>
    <t>虛擬貨幣CRO</t>
  </si>
  <si>
    <t>統一證券</t>
  </si>
  <si>
    <t>opeonpoint</t>
  </si>
  <si>
    <t>icash pay</t>
  </si>
  <si>
    <t>威秀</t>
  </si>
  <si>
    <t>豐存股</t>
  </si>
  <si>
    <t>中壽金美好（躉繳）</t>
  </si>
  <si>
    <t>國泰活儲(美金)</t>
  </si>
  <si>
    <t>黃金</t>
    <phoneticPr fontId="4" type="noConversion"/>
  </si>
  <si>
    <t>共同投資(美股)</t>
    <phoneticPr fontId="4" type="noConversion"/>
  </si>
  <si>
    <t>樂天銀行</t>
    <phoneticPr fontId="4" type="noConversion"/>
  </si>
  <si>
    <t>華南銀行</t>
    <phoneticPr fontId="4" type="noConversion"/>
  </si>
  <si>
    <t>幣安</t>
    <phoneticPr fontId="4" type="noConversion"/>
  </si>
  <si>
    <t>Apple禮券</t>
    <phoneticPr fontId="4" type="noConversion"/>
  </si>
  <si>
    <t>玉山wallet</t>
    <phoneticPr fontId="4" type="noConversion"/>
  </si>
  <si>
    <t>icash 2.0</t>
    <phoneticPr fontId="4" type="noConversion"/>
  </si>
  <si>
    <t>雲端開心卡</t>
    <phoneticPr fontId="4" type="noConversion"/>
  </si>
  <si>
    <t>新光數位</t>
  </si>
  <si>
    <t>凱基證</t>
  </si>
  <si>
    <t>統一證</t>
  </si>
  <si>
    <t>永豐美股</t>
  </si>
  <si>
    <t>Schwab美股</t>
  </si>
  <si>
    <t>永豐日本基金</t>
  </si>
  <si>
    <t>國泰投資型保險基金</t>
  </si>
  <si>
    <t>大戶投</t>
  </si>
  <si>
    <t>玉山活儲(美/日幣)</t>
  </si>
  <si>
    <t>玉山活儲</t>
  </si>
  <si>
    <t>富邦房貸</t>
  </si>
  <si>
    <t>凱基活儲(日幣)</t>
  </si>
  <si>
    <t>Richart (日幣)</t>
  </si>
  <si>
    <t>將來銀行</t>
  </si>
  <si>
    <t>大戶外幣(美/日幣)</t>
  </si>
  <si>
    <t>中信外幣(美金/日幣)</t>
  </si>
  <si>
    <t>樂天銀行</t>
  </si>
  <si>
    <t>華南銀行</t>
  </si>
  <si>
    <t>玉山wallet(e-pont)</t>
  </si>
  <si>
    <t>ipasss money</t>
  </si>
  <si>
    <t>line bank</t>
  </si>
  <si>
    <t>easywallet</t>
  </si>
  <si>
    <t>711禮券</t>
  </si>
  <si>
    <t>Apple禮券</t>
  </si>
  <si>
    <t>雲端開心卡</t>
  </si>
  <si>
    <t>icash 2.0</t>
  </si>
  <si>
    <t>711數位禮券</t>
  </si>
  <si>
    <t>CRO</t>
  </si>
  <si>
    <t>幣安</t>
  </si>
  <si>
    <t>Bitget</t>
  </si>
  <si>
    <t>ether.fi</t>
  </si>
  <si>
    <t>黃金</t>
  </si>
  <si>
    <t>公司福儲</t>
  </si>
  <si>
    <t>公司互助會(殆30萬)</t>
  </si>
  <si>
    <t>汐止觀止</t>
  </si>
  <si>
    <t>台東成功土地</t>
  </si>
  <si>
    <t>資產差異分析：2026/1/17 vs 2026/7/1</t>
  </si>
  <si>
    <t>項目</t>
  </si>
  <si>
    <t>差異</t>
  </si>
  <si>
    <t>說明</t>
  </si>
  <si>
    <t>總資產（表列計）</t>
  </si>
  <si>
    <t>差距 $3,703,955</t>
  </si>
  <si>
    <t>—</t>
  </si>
  <si>
    <t>原因說明</t>
  </si>
  <si>
    <t>富邦房貸（新增負債）</t>
  </si>
  <si>
    <t>施羅德六年期（2025到期）</t>
  </si>
  <si>
    <t>CRO（加密貨幣）</t>
  </si>
  <si>
    <t>加密貨幣市值下跌</t>
  </si>
  <si>
    <t>小幅減少</t>
  </si>
  <si>
    <t>▲ 拉高總計的項目</t>
  </si>
  <si>
    <t>永豐日本基金（原大戶日本基金）</t>
  </si>
  <si>
    <t>公司互助會（新增）</t>
  </si>
  <si>
    <t>7/1 新增項目</t>
  </si>
  <si>
    <t>Schwab美股（新增）</t>
  </si>
  <si>
    <t>永豐美股（新增）</t>
  </si>
  <si>
    <t>小幅增加</t>
  </si>
  <si>
    <t>1/17 項目</t>
  </si>
  <si>
    <t>7/1 對應項目</t>
  </si>
  <si>
    <t>股票+豐存股+統一證券</t>
  </si>
  <si>
    <t>凱基證+統一證+大戶投</t>
  </si>
  <si>
    <t>股票部位整體增加 +$257,608</t>
  </si>
  <si>
    <t>共同投資(美股)</t>
  </si>
  <si>
    <t>不明（Schwab? 永豐美股?）</t>
  </si>
  <si>
    <t>合併後餘額反而增加</t>
  </si>
  <si>
    <t>超商禮券</t>
  </si>
  <si>
    <t>名稱更新，金額相同</t>
  </si>
  <si>
    <t>差異彙整</t>
  </si>
  <si>
    <t>可辨識減少小計</t>
  </si>
  <si>
    <t>可辨識增加小計</t>
  </si>
  <si>
    <t>■ 總覽</t>
  </si>
  <si>
    <t>不動產（7/1新增，未估值）</t>
  </si>
  <si>
    <t>汐止觀止 ＋ 台東成功土地</t>
  </si>
  <si>
    <t>若計入市值，7/1 實際總資產應高於 $13,102,521</t>
  </si>
  <si>
    <t>▼ 拖低總計的主要原因（確定項目）</t>
  </si>
  <si>
    <t>1/17 無此項；7/1 計入房貸負債，直接扣減總資產</t>
  </si>
  <si>
    <t>大戶外幣（美+日幣）</t>
  </si>
  <si>
    <t>日幣$27,105+美金$985,769 → 合計縮水近半，匯率損失或資金移出</t>
  </si>
  <si>
    <t>2025已到期應已領回，7/1 空白，資金去向待確認</t>
  </si>
  <si>
    <t>7/1 改為國泰投資型保險基金，金額大幅縮水</t>
  </si>
  <si>
    <t>小幅下降</t>
  </si>
  <si>
    <t>小計（確定減少）</t>
  </si>
  <si>
    <t>資金大量集中到中信，大幅增加</t>
  </si>
  <si>
    <t>從大戶轉至永豐，金額增加 +$302,786</t>
  </si>
  <si>
    <t>新增美股帳戶（可能來自共同投資美股$500k轉換）</t>
  </si>
  <si>
    <t>新增美股部位，大幅擴充美股投資</t>
  </si>
  <si>
    <t>市值小幅增加</t>
  </si>
  <si>
    <t>小計（確定增加）</t>
  </si>
  <si>
    <r>
      <t>◈</t>
    </r>
    <r>
      <rPr>
        <b/>
        <sz val="12"/>
        <color theme="1"/>
        <rFont val="新細明體"/>
        <family val="1"/>
        <charset val="136"/>
        <scheme val="minor"/>
      </rPr>
      <t xml:space="preserve"> 帳戶結構重組（難以直接對應）</t>
    </r>
  </si>
  <si>
    <t>1/17 金額</t>
  </si>
  <si>
    <t>7/1 金額</t>
  </si>
  <si>
    <t>消失，可能清算或轉帳戶，建議確認</t>
  </si>
  <si>
    <t>大戶外幣(日幣+美金)</t>
  </si>
  <si>
    <t>合併後大幅縮水 -$461,510</t>
  </si>
  <si>
    <t>⚠  注意事項 / 建議追蹤</t>
  </si>
  <si>
    <t>① 汐止觀止 及 台東成功土地：7/1 新增不動產項目，尚未填入估值。若計入市值，總資產實際高於 $13,102,521。</t>
  </si>
  <si>
    <t>② 施羅德六年期 $204,600（2025到期）：7/1 欄位空白，應已領回。建議確認入帳位置。</t>
  </si>
  <si>
    <t>③ 共同投資(美股) $500,000：7/1 消失，建議確認是否清算、轉入 Schwab 或永豐美股。</t>
  </si>
  <si>
    <t>④ 大戶外幣缺口 -$461,510：建議確認是匯率損失（日圓/美元貶值）或已移轉至他處。</t>
  </si>
  <si>
    <t>⑤ 加密貨幣（CRO + 幣安）：共下跌 $213,797，反映市值波動，非資金移出。</t>
  </si>
  <si>
    <t>總計實際差異</t>
  </si>
  <si>
    <t>其餘差距（結構重組/未追蹤）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</si>
</sst>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176" formatCode="&quot;$&quot;#,##0"/>
    <numFmt numFmtId="177" formatCode="&quot;NT$&quot;#,##0_);\(&quot;NT$&quot;#,##0\)"/>
  </numFmts>
  <fonts count="12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FF0000"/>
      <name val="PMingLiu"/>
      <family val="1"/>
      <charset val="136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trike/>
      <sz val="12"/>
      <color theme="1"/>
      <name val="PMingLiu"/>
      <family val="1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5"/>
      <color theme="1"/>
      <name val="新細明體"/>
      <family val="1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7F3C5B"/>
        <bgColor indexed="64"/>
      </patternFill>
    </fill>
    <fill>
      <patternFill patternType="solid">
        <fgColor rgb="FFFFE6F2"/>
        <bgColor indexed="64"/>
      </patternFill>
    </fill>
    <fill>
      <patternFill patternType="solid">
        <fgColor rgb="FF008FBF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854124"/>
        <bgColor indexed="64"/>
      </patternFill>
    </fill>
    <fill>
      <patternFill patternType="solid">
        <fgColor rgb="FFE4DCD6"/>
        <bgColor indexed="64"/>
      </patternFill>
    </fill>
    <fill>
      <patternFill patternType="solid">
        <fgColor rgb="FF64381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76" fontId="1" fillId="0" borderId="2" xfId="0" applyNumberFormat="1" applyFont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5" fillId="0" borderId="3" xfId="0" applyFont="1" applyBorder="1" applyAlignment="1">
      <alignment wrapText="1"/>
    </xf>
    <xf numFmtId="14" fontId="1" fillId="2" borderId="4" xfId="0" applyNumberFormat="1" applyFont="1" applyFill="1" applyBorder="1" applyAlignment="1">
      <alignment horizontal="right" wrapText="1"/>
    </xf>
    <xf numFmtId="0" fontId="6" fillId="0" borderId="5" xfId="0" applyFont="1" applyBorder="1" applyAlignment="1">
      <alignment wrapText="1"/>
    </xf>
    <xf numFmtId="177" fontId="1" fillId="0" borderId="6" xfId="0" applyNumberFormat="1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7" fillId="4" borderId="5" xfId="0" applyFont="1" applyFill="1" applyBorder="1" applyAlignment="1">
      <alignment wrapText="1"/>
    </xf>
    <xf numFmtId="6" fontId="1" fillId="0" borderId="6" xfId="0" applyNumberFormat="1" applyFont="1" applyBorder="1" applyAlignment="1">
      <alignment horizontal="right" wrapText="1"/>
    </xf>
    <xf numFmtId="0" fontId="7" fillId="5" borderId="5" xfId="0" applyFont="1" applyFill="1" applyBorder="1" applyAlignment="1">
      <alignment wrapText="1"/>
    </xf>
    <xf numFmtId="0" fontId="8" fillId="0" borderId="5" xfId="1" applyBorder="1" applyAlignment="1">
      <alignment wrapText="1"/>
    </xf>
    <xf numFmtId="0" fontId="5" fillId="0" borderId="7" xfId="0" applyFont="1" applyBorder="1" applyAlignment="1">
      <alignment wrapText="1"/>
    </xf>
    <xf numFmtId="0" fontId="0" fillId="0" borderId="8" xfId="0" applyBorder="1">
      <alignment vertical="center"/>
    </xf>
    <xf numFmtId="3" fontId="0" fillId="0" borderId="8" xfId="0" applyNumberFormat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7" borderId="8" xfId="0" applyFill="1" applyBorder="1">
      <alignment vertical="center"/>
    </xf>
    <xf numFmtId="0" fontId="9" fillId="8" borderId="8" xfId="0" applyFont="1" applyFill="1" applyBorder="1">
      <alignment vertical="center"/>
    </xf>
    <xf numFmtId="0" fontId="0" fillId="10" borderId="8" xfId="0" applyFill="1" applyBorder="1">
      <alignment vertical="center"/>
    </xf>
    <xf numFmtId="0" fontId="9" fillId="11" borderId="8" xfId="0" applyFont="1" applyFill="1" applyBorder="1">
      <alignment vertical="center"/>
    </xf>
    <xf numFmtId="0" fontId="0" fillId="13" borderId="8" xfId="0" applyFill="1" applyBorder="1">
      <alignment vertical="center"/>
    </xf>
    <xf numFmtId="3" fontId="9" fillId="0" borderId="8" xfId="0" applyNumberFormat="1" applyFont="1" applyBorder="1" applyAlignment="1">
      <alignment horizontal="right" vertical="center"/>
    </xf>
    <xf numFmtId="0" fontId="0" fillId="15" borderId="8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14" fontId="9" fillId="17" borderId="8" xfId="0" applyNumberFormat="1" applyFont="1" applyFill="1" applyBorder="1" applyAlignment="1">
      <alignment horizontal="center" vertical="center"/>
    </xf>
    <xf numFmtId="3" fontId="0" fillId="0" borderId="8" xfId="0" applyNumberFormat="1" applyBorder="1">
      <alignment vertical="center"/>
    </xf>
    <xf numFmtId="0" fontId="9" fillId="6" borderId="0" xfId="0" applyFont="1" applyFill="1" applyAlignment="1">
      <alignment horizontal="center" vertical="center"/>
    </xf>
    <xf numFmtId="0" fontId="0" fillId="8" borderId="8" xfId="0" applyFill="1" applyBorder="1">
      <alignment vertical="center"/>
    </xf>
    <xf numFmtId="3" fontId="9" fillId="8" borderId="8" xfId="0" applyNumberFormat="1" applyFont="1" applyFill="1" applyBorder="1" applyAlignment="1">
      <alignment horizontal="right" vertical="center"/>
    </xf>
    <xf numFmtId="0" fontId="9" fillId="9" borderId="0" xfId="0" applyFont="1" applyFill="1" applyAlignment="1">
      <alignment horizontal="center" vertical="center"/>
    </xf>
    <xf numFmtId="0" fontId="0" fillId="11" borderId="8" xfId="0" applyFill="1" applyBorder="1">
      <alignment vertical="center"/>
    </xf>
    <xf numFmtId="3" fontId="9" fillId="11" borderId="8" xfId="0" applyNumberFormat="1" applyFont="1" applyFill="1" applyBorder="1" applyAlignment="1">
      <alignment horizontal="right" vertical="center"/>
    </xf>
    <xf numFmtId="0" fontId="10" fillId="12" borderId="0" xfId="0" applyFont="1" applyFill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9" fillId="14" borderId="0" xfId="0" applyFont="1" applyFill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9" fillId="18" borderId="0" xfId="0" applyFont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ther.f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opLeftCell="A55" workbookViewId="0">
      <selection activeCell="H11" sqref="H11"/>
    </sheetView>
  </sheetViews>
  <sheetFormatPr defaultRowHeight="17"/>
  <cols>
    <col min="1" max="1" width="26.6328125" customWidth="1"/>
    <col min="2" max="2" width="17.90625" customWidth="1"/>
    <col min="4" max="4" width="32.26953125" customWidth="1"/>
    <col min="5" max="5" width="44.1796875" customWidth="1"/>
  </cols>
  <sheetData>
    <row r="1" spans="1:5" ht="17.5" thickBot="1">
      <c r="A1" s="1"/>
      <c r="B1" s="2">
        <v>46039</v>
      </c>
      <c r="D1" s="9"/>
      <c r="E1" s="10">
        <v>46204</v>
      </c>
    </row>
    <row r="2" spans="1:5" ht="17.5" thickBot="1">
      <c r="A2" s="3" t="s">
        <v>0</v>
      </c>
      <c r="B2" s="4">
        <v>1720656</v>
      </c>
      <c r="D2" s="11" t="s">
        <v>64</v>
      </c>
      <c r="E2" s="12">
        <v>2280586</v>
      </c>
    </row>
    <row r="3" spans="1:5" ht="17.5" thickBot="1">
      <c r="A3" s="3" t="s">
        <v>1</v>
      </c>
      <c r="B3" s="4">
        <v>217214</v>
      </c>
      <c r="D3" s="11" t="s">
        <v>65</v>
      </c>
      <c r="E3" s="12">
        <v>155383</v>
      </c>
    </row>
    <row r="4" spans="1:5" ht="17.5" thickBot="1">
      <c r="A4" s="3" t="s">
        <v>2</v>
      </c>
      <c r="B4" s="4">
        <v>1140859</v>
      </c>
      <c r="D4" s="11" t="s">
        <v>66</v>
      </c>
      <c r="E4" s="12">
        <v>1399733</v>
      </c>
    </row>
    <row r="5" spans="1:5" ht="17.5" thickBot="1">
      <c r="A5" s="3" t="s">
        <v>3</v>
      </c>
      <c r="B5" s="4">
        <v>644436</v>
      </c>
      <c r="D5" s="11" t="s">
        <v>67</v>
      </c>
      <c r="E5" s="12">
        <v>700000</v>
      </c>
    </row>
    <row r="6" spans="1:5" ht="17.5" thickBot="1">
      <c r="A6" s="3" t="s">
        <v>4</v>
      </c>
      <c r="B6" s="4">
        <v>217868</v>
      </c>
      <c r="D6" s="11" t="s">
        <v>68</v>
      </c>
      <c r="E6" s="12">
        <v>978284</v>
      </c>
    </row>
    <row r="7" spans="1:5" ht="17.5" thickBot="1">
      <c r="A7" s="3" t="s">
        <v>5</v>
      </c>
      <c r="B7" s="4">
        <v>245550</v>
      </c>
      <c r="D7" s="11" t="s">
        <v>69</v>
      </c>
      <c r="E7" s="12">
        <v>67589</v>
      </c>
    </row>
    <row r="8" spans="1:5" ht="17.5" thickBot="1">
      <c r="A8" s="3" t="s">
        <v>5</v>
      </c>
      <c r="B8" s="4">
        <v>171620</v>
      </c>
      <c r="D8" s="11" t="s">
        <v>70</v>
      </c>
      <c r="E8" s="12">
        <v>758350</v>
      </c>
    </row>
    <row r="9" spans="1:5" ht="17.5" thickBot="1">
      <c r="A9" s="3" t="s">
        <v>6</v>
      </c>
      <c r="B9" s="4">
        <v>97643</v>
      </c>
      <c r="D9" s="13"/>
      <c r="E9" s="14"/>
    </row>
    <row r="10" spans="1:5" ht="17.5" thickBot="1">
      <c r="A10" s="3" t="s">
        <v>7</v>
      </c>
      <c r="B10" s="4">
        <v>4003</v>
      </c>
      <c r="D10" s="15" t="s">
        <v>71</v>
      </c>
      <c r="E10" s="12">
        <v>49673</v>
      </c>
    </row>
    <row r="11" spans="1:5" ht="17.5" thickBot="1">
      <c r="A11" s="3" t="s">
        <v>8</v>
      </c>
      <c r="B11" s="4">
        <v>337497</v>
      </c>
      <c r="D11" s="15" t="s">
        <v>72</v>
      </c>
      <c r="E11" s="12">
        <v>33821</v>
      </c>
    </row>
    <row r="12" spans="1:5" ht="17.5" thickBot="1">
      <c r="A12" s="5" t="s">
        <v>9</v>
      </c>
      <c r="B12" s="4">
        <v>67302</v>
      </c>
      <c r="D12" s="15" t="s">
        <v>13</v>
      </c>
      <c r="E12" s="12">
        <v>25289</v>
      </c>
    </row>
    <row r="13" spans="1:5" ht="17.5" thickBot="1">
      <c r="A13" s="5" t="s">
        <v>10</v>
      </c>
      <c r="B13" s="4">
        <v>61106</v>
      </c>
      <c r="D13" s="15" t="s">
        <v>73</v>
      </c>
      <c r="E13" s="12">
        <v>-670151</v>
      </c>
    </row>
    <row r="14" spans="1:5" ht="17.5" thickBot="1">
      <c r="A14" s="5" t="s">
        <v>11</v>
      </c>
      <c r="B14" s="4">
        <v>11867</v>
      </c>
      <c r="D14" s="15" t="s">
        <v>14</v>
      </c>
      <c r="E14" s="12">
        <v>2088663</v>
      </c>
    </row>
    <row r="15" spans="1:5" ht="17.5" thickBot="1">
      <c r="A15" s="5" t="s">
        <v>12</v>
      </c>
      <c r="B15" s="4">
        <v>19746</v>
      </c>
      <c r="D15" s="15" t="s">
        <v>74</v>
      </c>
      <c r="E15" s="12">
        <v>5168</v>
      </c>
    </row>
    <row r="16" spans="1:5" ht="17.5" thickBot="1">
      <c r="A16" s="5" t="s">
        <v>13</v>
      </c>
      <c r="B16" s="4">
        <v>55602</v>
      </c>
      <c r="D16" s="15" t="s">
        <v>16</v>
      </c>
      <c r="E16" s="12">
        <v>74347</v>
      </c>
    </row>
    <row r="17" spans="1:5" ht="17.5" thickBot="1">
      <c r="A17" s="5" t="s">
        <v>14</v>
      </c>
      <c r="B17" s="4">
        <v>2118861</v>
      </c>
      <c r="D17" s="15" t="s">
        <v>75</v>
      </c>
      <c r="E17" s="12">
        <v>7829</v>
      </c>
    </row>
    <row r="18" spans="1:5" ht="17.5" thickBot="1">
      <c r="A18" s="5" t="s">
        <v>15</v>
      </c>
      <c r="B18" s="4">
        <v>7982</v>
      </c>
      <c r="D18" s="15" t="s">
        <v>76</v>
      </c>
      <c r="E18" s="12">
        <v>1025</v>
      </c>
    </row>
    <row r="19" spans="1:5" ht="17.5" thickBot="1">
      <c r="A19" s="5" t="s">
        <v>16</v>
      </c>
      <c r="B19" s="4">
        <v>77046</v>
      </c>
      <c r="D19" s="16" t="s">
        <v>19</v>
      </c>
      <c r="E19" s="14"/>
    </row>
    <row r="20" spans="1:5" ht="17.5" thickBot="1">
      <c r="A20" s="5" t="s">
        <v>17</v>
      </c>
      <c r="B20" s="4">
        <v>8028</v>
      </c>
      <c r="D20" s="15" t="s">
        <v>20</v>
      </c>
      <c r="E20" s="12">
        <v>261</v>
      </c>
    </row>
    <row r="21" spans="1:5" ht="17.5" thickBot="1">
      <c r="A21" s="5" t="s">
        <v>18</v>
      </c>
      <c r="B21" s="4">
        <v>1017</v>
      </c>
      <c r="D21" s="15" t="s">
        <v>21</v>
      </c>
      <c r="E21" s="12">
        <v>23955</v>
      </c>
    </row>
    <row r="22" spans="1:5" ht="17.5" thickBot="1">
      <c r="A22" s="3" t="s">
        <v>19</v>
      </c>
      <c r="B22" s="4">
        <v>0</v>
      </c>
      <c r="D22" s="15" t="s">
        <v>22</v>
      </c>
      <c r="E22" s="12">
        <v>39465</v>
      </c>
    </row>
    <row r="23" spans="1:5" ht="17.5" thickBot="1">
      <c r="A23" s="3" t="s">
        <v>20</v>
      </c>
      <c r="B23" s="4">
        <v>6905</v>
      </c>
      <c r="D23" s="15" t="s">
        <v>23</v>
      </c>
      <c r="E23" s="12">
        <v>116535</v>
      </c>
    </row>
    <row r="24" spans="1:5" ht="17.5" thickBot="1">
      <c r="A24" s="3" t="s">
        <v>21</v>
      </c>
      <c r="B24" s="4">
        <v>27902</v>
      </c>
      <c r="D24" s="15" t="s">
        <v>77</v>
      </c>
      <c r="E24" s="12">
        <v>551364</v>
      </c>
    </row>
    <row r="25" spans="1:5" ht="17.5" thickBot="1">
      <c r="A25" s="3" t="s">
        <v>22</v>
      </c>
      <c r="B25" s="4">
        <v>20419</v>
      </c>
      <c r="D25" s="15" t="s">
        <v>6</v>
      </c>
      <c r="E25" s="12">
        <v>595521</v>
      </c>
    </row>
    <row r="26" spans="1:5" ht="17.5" thickBot="1">
      <c r="A26" s="3" t="s">
        <v>23</v>
      </c>
      <c r="B26" s="4">
        <v>100641</v>
      </c>
      <c r="D26" s="15" t="s">
        <v>7</v>
      </c>
      <c r="E26" s="12">
        <v>83126</v>
      </c>
    </row>
    <row r="27" spans="1:5" ht="17.5" thickBot="1">
      <c r="A27" s="3" t="s">
        <v>24</v>
      </c>
      <c r="B27" s="4">
        <v>675498</v>
      </c>
      <c r="D27" s="15" t="s">
        <v>78</v>
      </c>
      <c r="E27" s="12">
        <v>336416</v>
      </c>
    </row>
    <row r="28" spans="1:5" ht="17.5" thickBot="1">
      <c r="A28" s="3" t="s">
        <v>25</v>
      </c>
      <c r="B28" s="4">
        <v>27105</v>
      </c>
      <c r="D28" s="15" t="s">
        <v>79</v>
      </c>
      <c r="E28" s="12">
        <v>758</v>
      </c>
    </row>
    <row r="29" spans="1:5" ht="17.5" thickBot="1">
      <c r="A29" s="3" t="s">
        <v>26</v>
      </c>
      <c r="B29" s="4">
        <v>985769</v>
      </c>
      <c r="D29" s="15" t="s">
        <v>80</v>
      </c>
      <c r="E29" s="12">
        <v>13110</v>
      </c>
    </row>
    <row r="30" spans="1:5" ht="17.5" thickBot="1">
      <c r="A30" s="3" t="s">
        <v>27</v>
      </c>
      <c r="B30" s="4">
        <v>204600</v>
      </c>
      <c r="D30" s="13"/>
      <c r="E30" s="14"/>
    </row>
    <row r="31" spans="1:5" ht="34.5" thickBot="1">
      <c r="A31" s="6" t="s">
        <v>28</v>
      </c>
      <c r="B31" s="4">
        <v>351564</v>
      </c>
      <c r="D31" s="15" t="s">
        <v>3</v>
      </c>
      <c r="E31" s="17">
        <v>644436</v>
      </c>
    </row>
    <row r="32" spans="1:5" ht="17.5" thickBot="1">
      <c r="A32" s="6" t="s">
        <v>29</v>
      </c>
      <c r="B32" s="4">
        <v>882516</v>
      </c>
      <c r="D32" s="15" t="s">
        <v>4</v>
      </c>
      <c r="E32" s="17">
        <v>217868</v>
      </c>
    </row>
    <row r="33" spans="1:5" ht="17.5" thickBot="1">
      <c r="A33" s="6" t="s">
        <v>30</v>
      </c>
      <c r="B33" s="4">
        <v>0</v>
      </c>
      <c r="D33" s="15" t="s">
        <v>5</v>
      </c>
      <c r="E33" s="17">
        <v>245550</v>
      </c>
    </row>
    <row r="34" spans="1:5" ht="17.5" thickBot="1">
      <c r="A34" s="6" t="s">
        <v>31</v>
      </c>
      <c r="B34" s="4">
        <v>0</v>
      </c>
      <c r="D34" s="15" t="s">
        <v>5</v>
      </c>
      <c r="E34" s="17">
        <v>171620</v>
      </c>
    </row>
    <row r="35" spans="1:5" ht="17.5" thickBot="1">
      <c r="A35" s="6" t="s">
        <v>32</v>
      </c>
      <c r="B35" s="4">
        <v>0</v>
      </c>
      <c r="D35" s="15" t="s">
        <v>8</v>
      </c>
      <c r="E35" s="17">
        <v>337497</v>
      </c>
    </row>
    <row r="36" spans="1:5" ht="34.5" thickBot="1">
      <c r="A36" s="6" t="s">
        <v>33</v>
      </c>
      <c r="B36" s="4">
        <v>724999</v>
      </c>
      <c r="D36" s="18" t="s">
        <v>27</v>
      </c>
      <c r="E36" s="14"/>
    </row>
    <row r="37" spans="1:5" ht="34.5" thickBot="1">
      <c r="A37" s="6" t="s">
        <v>34</v>
      </c>
      <c r="B37" s="4">
        <v>1314540</v>
      </c>
      <c r="D37" s="15" t="s">
        <v>28</v>
      </c>
      <c r="E37" s="17">
        <v>351564</v>
      </c>
    </row>
    <row r="38" spans="1:5" ht="34.5" thickBot="1">
      <c r="A38" s="6" t="s">
        <v>35</v>
      </c>
      <c r="B38" s="4">
        <v>1028385</v>
      </c>
      <c r="D38" s="15" t="s">
        <v>29</v>
      </c>
      <c r="E38" s="17">
        <v>882516</v>
      </c>
    </row>
    <row r="39" spans="1:5" ht="17.5" thickBot="1">
      <c r="A39" s="6" t="s">
        <v>36</v>
      </c>
      <c r="B39" s="4">
        <v>240000</v>
      </c>
      <c r="D39" s="15" t="s">
        <v>30</v>
      </c>
      <c r="E39" s="12">
        <v>0</v>
      </c>
    </row>
    <row r="40" spans="1:5" ht="17.5" thickBot="1">
      <c r="A40" s="6" t="s">
        <v>37</v>
      </c>
      <c r="B40" s="4">
        <v>0</v>
      </c>
      <c r="D40" s="15" t="s">
        <v>32</v>
      </c>
      <c r="E40" s="12">
        <v>0</v>
      </c>
    </row>
    <row r="41" spans="1:5" ht="34.5" thickBot="1">
      <c r="A41" s="6" t="s">
        <v>38</v>
      </c>
      <c r="B41" s="4">
        <v>1500</v>
      </c>
      <c r="D41" s="15" t="s">
        <v>33</v>
      </c>
      <c r="E41" s="12">
        <v>724999</v>
      </c>
    </row>
    <row r="42" spans="1:5" ht="17.5" thickBot="1">
      <c r="A42" s="6" t="s">
        <v>39</v>
      </c>
      <c r="B42" s="4">
        <v>6000</v>
      </c>
      <c r="D42" s="15" t="s">
        <v>34</v>
      </c>
      <c r="E42" s="17">
        <v>1314540</v>
      </c>
    </row>
    <row r="43" spans="1:5" ht="34.5" thickBot="1">
      <c r="A43" s="6" t="s">
        <v>40</v>
      </c>
      <c r="B43" s="4">
        <v>1000</v>
      </c>
      <c r="D43" s="15" t="s">
        <v>35</v>
      </c>
      <c r="E43" s="17">
        <v>1028385</v>
      </c>
    </row>
    <row r="44" spans="1:5" ht="17.5" thickBot="1">
      <c r="A44" s="6" t="s">
        <v>41</v>
      </c>
      <c r="B44" s="4">
        <v>320</v>
      </c>
      <c r="D44" s="15" t="s">
        <v>52</v>
      </c>
      <c r="E44" s="12">
        <v>319956</v>
      </c>
    </row>
    <row r="45" spans="1:5" ht="17.5" thickBot="1">
      <c r="A45" s="6" t="s">
        <v>42</v>
      </c>
      <c r="B45" s="4">
        <v>0</v>
      </c>
      <c r="D45" s="13"/>
      <c r="E45" s="14"/>
    </row>
    <row r="46" spans="1:5" ht="17.5" thickBot="1">
      <c r="A46" s="6" t="s">
        <v>43</v>
      </c>
      <c r="B46" s="4">
        <v>0</v>
      </c>
      <c r="D46" s="13"/>
      <c r="E46" s="14"/>
    </row>
    <row r="47" spans="1:5" ht="17.5" thickBot="1">
      <c r="A47" s="6" t="s">
        <v>44</v>
      </c>
      <c r="B47" s="4">
        <v>2121</v>
      </c>
      <c r="D47" s="15" t="s">
        <v>81</v>
      </c>
      <c r="E47" s="12">
        <v>4069</v>
      </c>
    </row>
    <row r="48" spans="1:5" ht="17.5" thickBot="1">
      <c r="A48" s="6" t="s">
        <v>45</v>
      </c>
      <c r="B48" s="4">
        <v>5301</v>
      </c>
      <c r="D48" s="15" t="s">
        <v>48</v>
      </c>
      <c r="E48" s="12">
        <v>4497</v>
      </c>
    </row>
    <row r="49" spans="1:5" ht="17.5" thickBot="1">
      <c r="A49" s="8" t="s">
        <v>46</v>
      </c>
      <c r="B49" s="4">
        <v>503285</v>
      </c>
      <c r="D49" s="15" t="s">
        <v>40</v>
      </c>
      <c r="E49" s="12">
        <v>20</v>
      </c>
    </row>
    <row r="50" spans="1:5" ht="17.5" thickBot="1">
      <c r="A50" s="6" t="s">
        <v>47</v>
      </c>
      <c r="B50" s="4">
        <v>78851</v>
      </c>
      <c r="D50" s="15" t="s">
        <v>39</v>
      </c>
      <c r="E50" s="12">
        <v>2100</v>
      </c>
    </row>
    <row r="51" spans="1:5" ht="17.5" thickBot="1">
      <c r="A51" s="6" t="s">
        <v>48</v>
      </c>
      <c r="B51" s="4">
        <v>3525</v>
      </c>
      <c r="D51" s="15" t="s">
        <v>38</v>
      </c>
      <c r="E51" s="12">
        <v>622</v>
      </c>
    </row>
    <row r="52" spans="1:5" ht="17.5" thickBot="1">
      <c r="A52" s="6" t="s">
        <v>49</v>
      </c>
      <c r="B52" s="4">
        <v>14331</v>
      </c>
      <c r="D52" s="15" t="s">
        <v>37</v>
      </c>
      <c r="E52" s="12">
        <v>0</v>
      </c>
    </row>
    <row r="53" spans="1:5" ht="17.5" thickBot="1">
      <c r="A53" s="6" t="s">
        <v>50</v>
      </c>
      <c r="B53" s="4">
        <v>1000</v>
      </c>
      <c r="D53" s="15" t="s">
        <v>41</v>
      </c>
      <c r="E53" s="12">
        <v>64</v>
      </c>
    </row>
    <row r="54" spans="1:5" ht="17.5" thickBot="1">
      <c r="A54" s="6" t="s">
        <v>51</v>
      </c>
      <c r="B54" s="4">
        <v>1137204</v>
      </c>
      <c r="D54" s="15" t="s">
        <v>43</v>
      </c>
      <c r="E54" s="12">
        <v>0</v>
      </c>
    </row>
    <row r="55" spans="1:5" ht="17.5" thickBot="1">
      <c r="A55" s="6" t="s">
        <v>52</v>
      </c>
      <c r="B55" s="4">
        <v>311767</v>
      </c>
      <c r="D55" s="15" t="s">
        <v>82</v>
      </c>
      <c r="E55" s="12">
        <v>664</v>
      </c>
    </row>
    <row r="56" spans="1:5" ht="17.5" thickBot="1">
      <c r="A56" s="6" t="s">
        <v>53</v>
      </c>
      <c r="B56" s="4">
        <v>0</v>
      </c>
      <c r="D56" s="15" t="s">
        <v>83</v>
      </c>
      <c r="E56" s="12">
        <v>207</v>
      </c>
    </row>
    <row r="57" spans="1:5" ht="17.5" thickBot="1">
      <c r="A57" s="6" t="s">
        <v>54</v>
      </c>
      <c r="B57" s="4">
        <v>200000</v>
      </c>
      <c r="D57" s="11" t="s">
        <v>84</v>
      </c>
      <c r="E57" s="12">
        <v>1912</v>
      </c>
    </row>
    <row r="58" spans="1:5" ht="17.5" thickBot="1">
      <c r="A58" s="6" t="s">
        <v>55</v>
      </c>
      <c r="B58" s="4">
        <v>500000</v>
      </c>
      <c r="D58" s="13"/>
      <c r="E58" s="14"/>
    </row>
    <row r="59" spans="1:5" ht="17.5" thickBot="1">
      <c r="A59" s="6" t="s">
        <v>56</v>
      </c>
      <c r="B59" s="4">
        <v>758</v>
      </c>
      <c r="D59" s="15" t="s">
        <v>85</v>
      </c>
      <c r="E59" s="12">
        <v>240000</v>
      </c>
    </row>
    <row r="60" spans="1:5" ht="17.5" thickBot="1">
      <c r="A60" s="6" t="s">
        <v>57</v>
      </c>
      <c r="B60" s="4">
        <v>14128</v>
      </c>
      <c r="D60" s="15" t="s">
        <v>86</v>
      </c>
      <c r="E60" s="12">
        <v>13000</v>
      </c>
    </row>
    <row r="61" spans="1:5" ht="17.5" thickBot="1">
      <c r="A61" s="6" t="s">
        <v>58</v>
      </c>
      <c r="B61" s="4">
        <v>93031</v>
      </c>
      <c r="D61" s="15" t="s">
        <v>87</v>
      </c>
      <c r="E61" s="12">
        <v>15990</v>
      </c>
    </row>
    <row r="62" spans="1:5" ht="17.5" thickBot="1">
      <c r="A62" s="6" t="s">
        <v>59</v>
      </c>
      <c r="B62" s="4">
        <v>13000</v>
      </c>
      <c r="D62" s="15" t="s">
        <v>88</v>
      </c>
      <c r="E62" s="12">
        <v>62727</v>
      </c>
    </row>
    <row r="63" spans="1:5" ht="17.5" thickBot="1">
      <c r="A63" s="6" t="s">
        <v>60</v>
      </c>
      <c r="B63" s="4">
        <v>2453</v>
      </c>
      <c r="D63" s="15" t="s">
        <v>50</v>
      </c>
      <c r="E63" s="12">
        <v>650</v>
      </c>
    </row>
    <row r="64" spans="1:5" ht="17.5" thickBot="1">
      <c r="A64" s="6" t="s">
        <v>61</v>
      </c>
      <c r="B64" s="4">
        <v>90789</v>
      </c>
      <c r="D64" s="15" t="s">
        <v>89</v>
      </c>
      <c r="E64" s="12">
        <v>850</v>
      </c>
    </row>
    <row r="65" spans="1:5" ht="17.5" thickBot="1">
      <c r="A65" s="6" t="s">
        <v>62</v>
      </c>
      <c r="B65" s="4">
        <v>9366</v>
      </c>
      <c r="D65" s="13"/>
      <c r="E65" s="14"/>
    </row>
    <row r="66" spans="1:5" ht="17.5" thickBot="1">
      <c r="A66" s="6" t="s">
        <v>63</v>
      </c>
      <c r="B66" s="4">
        <v>0</v>
      </c>
      <c r="D66" s="11" t="s">
        <v>90</v>
      </c>
      <c r="E66" s="12">
        <v>320910</v>
      </c>
    </row>
    <row r="67" spans="1:5" ht="17.5" thickBot="1">
      <c r="A67" s="3"/>
      <c r="B67" s="7">
        <f>SUM(B2:B66)</f>
        <v>16806476</v>
      </c>
      <c r="D67" s="15" t="s">
        <v>91</v>
      </c>
      <c r="E67" s="12">
        <v>61609</v>
      </c>
    </row>
    <row r="68" spans="1:5" ht="17.5" thickBot="1">
      <c r="D68" s="11" t="s">
        <v>92</v>
      </c>
      <c r="E68" s="12">
        <v>4755</v>
      </c>
    </row>
    <row r="69" spans="1:5" ht="17.5" thickBot="1">
      <c r="D69" s="19" t="s">
        <v>93</v>
      </c>
      <c r="E69" s="12">
        <v>152</v>
      </c>
    </row>
    <row r="70" spans="1:5" ht="17.5" thickBot="1">
      <c r="D70" s="13"/>
      <c r="E70" s="14"/>
    </row>
    <row r="71" spans="1:5" ht="17.5" thickBot="1">
      <c r="D71" s="15" t="s">
        <v>94</v>
      </c>
      <c r="E71" s="12">
        <v>230000</v>
      </c>
    </row>
    <row r="72" spans="1:5" ht="17.5" thickBot="1">
      <c r="D72" s="15" t="s">
        <v>95</v>
      </c>
      <c r="E72" s="12">
        <v>1076668</v>
      </c>
    </row>
    <row r="73" spans="1:5" ht="17.5" thickBot="1">
      <c r="D73" s="11" t="s">
        <v>96</v>
      </c>
      <c r="E73" s="12">
        <v>300000</v>
      </c>
    </row>
    <row r="74" spans="1:5" ht="17.5" thickBot="1">
      <c r="D74" s="11" t="s">
        <v>97</v>
      </c>
      <c r="E74" s="14"/>
    </row>
    <row r="75" spans="1:5" ht="17.5" thickBot="1">
      <c r="D75" s="11" t="s">
        <v>98</v>
      </c>
      <c r="E75" s="14"/>
    </row>
    <row r="76" spans="1:5" ht="17.5" thickBot="1">
      <c r="D76" s="13"/>
      <c r="E76" s="14"/>
    </row>
    <row r="77" spans="1:5" ht="17.5" thickBot="1">
      <c r="D77" s="20"/>
      <c r="E77" s="12">
        <v>13102521</v>
      </c>
    </row>
  </sheetData>
  <phoneticPr fontId="2" type="noConversion"/>
  <hyperlinks>
    <hyperlink ref="D69" r:id="rId1" display="http://ether.fi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/>
  </sheetViews>
  <sheetFormatPr defaultRowHeight="17"/>
  <cols>
    <col min="1" max="1" width="36.6328125" customWidth="1"/>
    <col min="2" max="2" width="15.6328125" customWidth="1"/>
    <col min="3" max="3" width="32.6328125" customWidth="1"/>
    <col min="4" max="4" width="15.6328125" customWidth="1"/>
    <col min="5" max="5" width="55.6328125" customWidth="1"/>
  </cols>
  <sheetData>
    <row r="1" spans="1:5" ht="34" customHeight="1">
      <c r="A1" s="32" t="s">
        <v>99</v>
      </c>
      <c r="B1" s="31"/>
      <c r="C1" s="31"/>
      <c r="D1" s="31"/>
      <c r="E1" s="31"/>
    </row>
    <row r="3" spans="1:5" ht="22" customHeight="1">
      <c r="A3" s="33" t="s">
        <v>132</v>
      </c>
      <c r="B3" s="31"/>
      <c r="C3" s="31"/>
      <c r="D3" s="31"/>
      <c r="E3" s="31"/>
    </row>
    <row r="4" spans="1:5">
      <c r="A4" s="34" t="s">
        <v>100</v>
      </c>
      <c r="B4" s="35">
        <v>46039</v>
      </c>
      <c r="C4" s="35">
        <v>46204</v>
      </c>
      <c r="D4" s="34" t="s">
        <v>101</v>
      </c>
      <c r="E4" s="34" t="s">
        <v>102</v>
      </c>
    </row>
    <row r="5" spans="1:5">
      <c r="A5" s="21" t="s">
        <v>103</v>
      </c>
      <c r="B5" s="36">
        <v>16806476</v>
      </c>
      <c r="C5" s="36">
        <v>13102521</v>
      </c>
      <c r="D5" s="29">
        <v>-3703955</v>
      </c>
      <c r="E5" s="21" t="s">
        <v>104</v>
      </c>
    </row>
    <row r="6" spans="1:5">
      <c r="A6" s="21" t="s">
        <v>133</v>
      </c>
      <c r="B6" s="23" t="s">
        <v>105</v>
      </c>
      <c r="C6" s="21" t="s">
        <v>134</v>
      </c>
      <c r="D6" s="23" t="s">
        <v>105</v>
      </c>
      <c r="E6" s="21" t="s">
        <v>135</v>
      </c>
    </row>
    <row r="8" spans="1:5" ht="22" customHeight="1">
      <c r="A8" s="37" t="s">
        <v>136</v>
      </c>
      <c r="B8" s="31"/>
      <c r="C8" s="31"/>
      <c r="D8" s="31"/>
      <c r="E8" s="31"/>
    </row>
    <row r="9" spans="1:5">
      <c r="A9" s="34" t="s">
        <v>100</v>
      </c>
      <c r="B9" s="35">
        <v>46039</v>
      </c>
      <c r="C9" s="35">
        <v>46204</v>
      </c>
      <c r="D9" s="34" t="s">
        <v>101</v>
      </c>
      <c r="E9" s="34" t="s">
        <v>106</v>
      </c>
    </row>
    <row r="10" spans="1:5">
      <c r="A10" s="24" t="s">
        <v>107</v>
      </c>
      <c r="B10" s="22">
        <v>0</v>
      </c>
      <c r="C10" s="22">
        <v>-670151</v>
      </c>
      <c r="D10" s="29">
        <v>-670151</v>
      </c>
      <c r="E10" s="21" t="s">
        <v>137</v>
      </c>
    </row>
    <row r="11" spans="1:5">
      <c r="A11" s="24" t="s">
        <v>138</v>
      </c>
      <c r="B11" s="22">
        <v>1012874</v>
      </c>
      <c r="C11" s="22">
        <v>551364</v>
      </c>
      <c r="D11" s="29">
        <v>-461510</v>
      </c>
      <c r="E11" s="21" t="s">
        <v>139</v>
      </c>
    </row>
    <row r="12" spans="1:5">
      <c r="A12" s="24" t="s">
        <v>108</v>
      </c>
      <c r="B12" s="22">
        <v>204600</v>
      </c>
      <c r="C12" s="22">
        <v>0</v>
      </c>
      <c r="D12" s="29">
        <v>-204600</v>
      </c>
      <c r="E12" s="21" t="s">
        <v>140</v>
      </c>
    </row>
    <row r="13" spans="1:5">
      <c r="A13" s="24" t="s">
        <v>109</v>
      </c>
      <c r="B13" s="22">
        <v>503285</v>
      </c>
      <c r="C13" s="22">
        <v>320910</v>
      </c>
      <c r="D13" s="29">
        <v>-182375</v>
      </c>
      <c r="E13" s="21" t="s">
        <v>110</v>
      </c>
    </row>
    <row r="14" spans="1:5">
      <c r="A14" s="24" t="s">
        <v>1</v>
      </c>
      <c r="B14" s="22">
        <v>217214</v>
      </c>
      <c r="C14" s="22">
        <v>67589</v>
      </c>
      <c r="D14" s="29">
        <v>-149625</v>
      </c>
      <c r="E14" s="21" t="s">
        <v>141</v>
      </c>
    </row>
    <row r="15" spans="1:5">
      <c r="A15" s="24" t="s">
        <v>95</v>
      </c>
      <c r="B15" s="22">
        <v>1140859</v>
      </c>
      <c r="C15" s="22">
        <v>1076668</v>
      </c>
      <c r="D15" s="29">
        <v>-64191</v>
      </c>
      <c r="E15" s="21" t="s">
        <v>142</v>
      </c>
    </row>
    <row r="16" spans="1:5">
      <c r="A16" s="24" t="s">
        <v>91</v>
      </c>
      <c r="B16" s="22">
        <v>93031</v>
      </c>
      <c r="C16" s="22">
        <v>61609</v>
      </c>
      <c r="D16" s="29">
        <v>-31422</v>
      </c>
      <c r="E16" s="21" t="s">
        <v>110</v>
      </c>
    </row>
    <row r="17" spans="1:5">
      <c r="A17" s="24" t="s">
        <v>14</v>
      </c>
      <c r="B17" s="22">
        <v>2118861</v>
      </c>
      <c r="C17" s="22">
        <v>2088663</v>
      </c>
      <c r="D17" s="29">
        <v>-30198</v>
      </c>
      <c r="E17" s="21" t="s">
        <v>111</v>
      </c>
    </row>
    <row r="18" spans="1:5">
      <c r="A18" s="25" t="s">
        <v>143</v>
      </c>
      <c r="B18" s="38"/>
      <c r="C18" s="38"/>
      <c r="D18" s="39">
        <v>-1794072</v>
      </c>
      <c r="E18" s="38"/>
    </row>
    <row r="20" spans="1:5" ht="22" customHeight="1">
      <c r="A20" s="40" t="s">
        <v>112</v>
      </c>
      <c r="B20" s="31"/>
      <c r="C20" s="31"/>
      <c r="D20" s="31"/>
      <c r="E20" s="31"/>
    </row>
    <row r="21" spans="1:5">
      <c r="A21" s="34" t="s">
        <v>100</v>
      </c>
      <c r="B21" s="35">
        <v>46039</v>
      </c>
      <c r="C21" s="35">
        <v>46204</v>
      </c>
      <c r="D21" s="34" t="s">
        <v>101</v>
      </c>
      <c r="E21" s="34" t="s">
        <v>102</v>
      </c>
    </row>
    <row r="22" spans="1:5">
      <c r="A22" s="26" t="s">
        <v>6</v>
      </c>
      <c r="B22" s="22">
        <v>97643</v>
      </c>
      <c r="C22" s="22">
        <v>595521</v>
      </c>
      <c r="D22" s="29">
        <v>497878</v>
      </c>
      <c r="E22" s="21" t="s">
        <v>144</v>
      </c>
    </row>
    <row r="23" spans="1:5">
      <c r="A23" s="26" t="s">
        <v>113</v>
      </c>
      <c r="B23" s="22">
        <v>675498</v>
      </c>
      <c r="C23" s="22">
        <v>978284</v>
      </c>
      <c r="D23" s="29">
        <v>302786</v>
      </c>
      <c r="E23" s="21" t="s">
        <v>145</v>
      </c>
    </row>
    <row r="24" spans="1:5">
      <c r="A24" s="26" t="s">
        <v>114</v>
      </c>
      <c r="B24" s="22">
        <v>0</v>
      </c>
      <c r="C24" s="22">
        <v>300000</v>
      </c>
      <c r="D24" s="29">
        <v>300000</v>
      </c>
      <c r="E24" s="21" t="s">
        <v>115</v>
      </c>
    </row>
    <row r="25" spans="1:5">
      <c r="A25" s="26" t="s">
        <v>116</v>
      </c>
      <c r="B25" s="22">
        <v>0</v>
      </c>
      <c r="C25" s="22">
        <v>700000</v>
      </c>
      <c r="D25" s="29">
        <v>700000</v>
      </c>
      <c r="E25" s="21" t="s">
        <v>146</v>
      </c>
    </row>
    <row r="26" spans="1:5">
      <c r="A26" s="26" t="s">
        <v>117</v>
      </c>
      <c r="B26" s="22">
        <v>0</v>
      </c>
      <c r="C26" s="22">
        <v>1399733</v>
      </c>
      <c r="D26" s="29">
        <v>1399733</v>
      </c>
      <c r="E26" s="21" t="s">
        <v>147</v>
      </c>
    </row>
    <row r="27" spans="1:5">
      <c r="A27" s="26" t="s">
        <v>94</v>
      </c>
      <c r="B27" s="22">
        <v>200000</v>
      </c>
      <c r="C27" s="22">
        <v>230000</v>
      </c>
      <c r="D27" s="29">
        <v>30000</v>
      </c>
      <c r="E27" s="21" t="s">
        <v>148</v>
      </c>
    </row>
    <row r="28" spans="1:5">
      <c r="A28" s="26" t="s">
        <v>52</v>
      </c>
      <c r="B28" s="22">
        <v>311767</v>
      </c>
      <c r="C28" s="22">
        <v>319956</v>
      </c>
      <c r="D28" s="29">
        <v>8189</v>
      </c>
      <c r="E28" s="21" t="s">
        <v>118</v>
      </c>
    </row>
    <row r="29" spans="1:5">
      <c r="A29" s="27" t="s">
        <v>149</v>
      </c>
      <c r="B29" s="41"/>
      <c r="C29" s="41"/>
      <c r="D29" s="42">
        <v>3238586</v>
      </c>
      <c r="E29" s="41"/>
    </row>
    <row r="31" spans="1:5" ht="22" customHeight="1">
      <c r="A31" s="43" t="s">
        <v>150</v>
      </c>
      <c r="B31" s="31"/>
      <c r="C31" s="31"/>
      <c r="D31" s="31"/>
      <c r="E31" s="31"/>
    </row>
    <row r="32" spans="1:5">
      <c r="A32" s="34" t="s">
        <v>119</v>
      </c>
      <c r="B32" s="34" t="s">
        <v>151</v>
      </c>
      <c r="C32" s="34" t="s">
        <v>120</v>
      </c>
      <c r="D32" s="34" t="s">
        <v>152</v>
      </c>
      <c r="E32" s="34" t="s">
        <v>102</v>
      </c>
    </row>
    <row r="33" spans="1:5">
      <c r="A33" s="28" t="s">
        <v>121</v>
      </c>
      <c r="B33" s="22">
        <v>2936711</v>
      </c>
      <c r="C33" s="21" t="s">
        <v>122</v>
      </c>
      <c r="D33" s="22">
        <v>3194319</v>
      </c>
      <c r="E33" s="21" t="s">
        <v>123</v>
      </c>
    </row>
    <row r="34" spans="1:5">
      <c r="A34" s="28" t="s">
        <v>124</v>
      </c>
      <c r="B34" s="22">
        <v>500000</v>
      </c>
      <c r="C34" s="21" t="s">
        <v>125</v>
      </c>
      <c r="D34" s="44" t="s">
        <v>105</v>
      </c>
      <c r="E34" s="21" t="s">
        <v>153</v>
      </c>
    </row>
    <row r="35" spans="1:5">
      <c r="A35" s="28" t="s">
        <v>154</v>
      </c>
      <c r="B35" s="22">
        <v>1012874</v>
      </c>
      <c r="C35" s="21" t="s">
        <v>77</v>
      </c>
      <c r="D35" s="22">
        <v>551364</v>
      </c>
      <c r="E35" s="21" t="s">
        <v>155</v>
      </c>
    </row>
    <row r="36" spans="1:5">
      <c r="A36" s="28" t="s">
        <v>49</v>
      </c>
      <c r="B36" s="22">
        <v>14331</v>
      </c>
      <c r="C36" s="21" t="s">
        <v>88</v>
      </c>
      <c r="D36" s="22">
        <v>62727</v>
      </c>
      <c r="E36" s="21" t="s">
        <v>126</v>
      </c>
    </row>
    <row r="37" spans="1:5">
      <c r="A37" s="28" t="s">
        <v>127</v>
      </c>
      <c r="B37" s="22">
        <v>240000</v>
      </c>
      <c r="C37" s="21" t="s">
        <v>85</v>
      </c>
      <c r="D37" s="22">
        <v>240000</v>
      </c>
      <c r="E37" s="21" t="s">
        <v>128</v>
      </c>
    </row>
    <row r="40" spans="1:5" ht="22" customHeight="1">
      <c r="A40" s="45" t="s">
        <v>156</v>
      </c>
      <c r="B40" s="31"/>
      <c r="C40" s="31"/>
      <c r="D40" s="31"/>
      <c r="E40" s="31"/>
    </row>
    <row r="41" spans="1:5" ht="30" customHeight="1">
      <c r="A41" s="30" t="s">
        <v>157</v>
      </c>
      <c r="B41" s="46"/>
      <c r="C41" s="46"/>
      <c r="D41" s="46"/>
      <c r="E41" s="46"/>
    </row>
    <row r="42" spans="1:5" ht="30" customHeight="1">
      <c r="A42" s="30" t="s">
        <v>158</v>
      </c>
      <c r="B42" s="46"/>
      <c r="C42" s="46"/>
      <c r="D42" s="46"/>
      <c r="E42" s="46"/>
    </row>
    <row r="43" spans="1:5" ht="30" customHeight="1">
      <c r="A43" s="30" t="s">
        <v>159</v>
      </c>
      <c r="B43" s="46"/>
      <c r="C43" s="46"/>
      <c r="D43" s="46"/>
      <c r="E43" s="46"/>
    </row>
    <row r="44" spans="1:5" ht="30" customHeight="1">
      <c r="A44" s="30" t="s">
        <v>160</v>
      </c>
      <c r="B44" s="46"/>
      <c r="C44" s="46"/>
      <c r="D44" s="46"/>
      <c r="E44" s="46"/>
    </row>
    <row r="45" spans="1:5" ht="30" customHeight="1">
      <c r="A45" s="30" t="s">
        <v>161</v>
      </c>
      <c r="B45" s="46"/>
      <c r="C45" s="46"/>
      <c r="D45" s="46"/>
      <c r="E45" s="46"/>
    </row>
    <row r="48" spans="1:5" ht="22" customHeight="1">
      <c r="A48" s="47" t="s">
        <v>129</v>
      </c>
      <c r="B48" s="31"/>
      <c r="C48" s="31"/>
      <c r="D48" s="31"/>
      <c r="E48" s="31"/>
    </row>
    <row r="49" spans="1:5">
      <c r="A49" s="21" t="s">
        <v>130</v>
      </c>
      <c r="B49" s="29">
        <v>-1794072</v>
      </c>
      <c r="C49" s="21" t="s">
        <v>131</v>
      </c>
      <c r="D49" s="29">
        <v>3238586</v>
      </c>
      <c r="E49" s="21"/>
    </row>
    <row r="50" spans="1:5">
      <c r="A50" s="21" t="s">
        <v>162</v>
      </c>
      <c r="B50" s="29">
        <v>-3703955</v>
      </c>
      <c r="C50" s="21" t="s">
        <v>163</v>
      </c>
      <c r="D50" s="29">
        <v>5148469</v>
      </c>
      <c r="E50" s="21"/>
    </row>
  </sheetData>
  <mergeCells count="12">
    <mergeCell ref="A41:E41"/>
    <mergeCell ref="A42:E42"/>
    <mergeCell ref="A43:E43"/>
    <mergeCell ref="A44:E44"/>
    <mergeCell ref="A45:E45"/>
    <mergeCell ref="A48:E48"/>
    <mergeCell ref="A1:E1"/>
    <mergeCell ref="A3:E3"/>
    <mergeCell ref="A8:E8"/>
    <mergeCell ref="A20:E20"/>
    <mergeCell ref="A31:E31"/>
    <mergeCell ref="A40:E4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差異分析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陳俊良(iso-accound)</dc:creator>
  <cp:lastModifiedBy>陳俊良(iso-accound)</cp:lastModifiedBy>
  <dcterms:created xsi:type="dcterms:W3CDTF">2026-06-01T07:41:29Z</dcterms:created>
  <dcterms:modified xsi:type="dcterms:W3CDTF">2026-06-26T00:44:56Z</dcterms:modified>
</cp:coreProperties>
</file>